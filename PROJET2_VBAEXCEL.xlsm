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\Desktop\master science de données\POJET_2_VBA_EXCEL\"/>
    </mc:Choice>
  </mc:AlternateContent>
  <bookViews>
    <workbookView xWindow="0" yWindow="0" windowWidth="20460" windowHeight="7680"/>
  </bookViews>
  <sheets>
    <sheet name="Menu" sheetId="27" r:id="rId1"/>
    <sheet name="patient" sheetId="2" r:id="rId2"/>
    <sheet name="diagramme_secteurs" sheetId="17" r:id="rId3"/>
    <sheet name="diagramme_baton" sheetId="20" r:id="rId4"/>
    <sheet name="Graphique_nuagePoint" sheetId="22" r:id="rId5"/>
    <sheet name="sexe" sheetId="3" r:id="rId6"/>
    <sheet name="ResTG" sheetId="4" r:id="rId7"/>
    <sheet name="BrasTrait" sheetId="6" r:id="rId8"/>
    <sheet name="Intensité" sheetId="8" r:id="rId9"/>
    <sheet name="Gravité" sheetId="9" r:id="rId10"/>
    <sheet name="ActPriseEI" sheetId="10" r:id="rId11"/>
    <sheet name="DevSuiteEI" sheetId="11" r:id="rId12"/>
    <sheet name="RelAvecTrait" sheetId="12" r:id="rId13"/>
    <sheet name="Spot_Sang" sheetId="13" r:id="rId14"/>
    <sheet name="EIndes" sheetId="14" r:id="rId15"/>
    <sheet name="GEpaisse" sheetId="5" r:id="rId16"/>
  </sheets>
  <definedNames>
    <definedName name="_xlnm._FilterDatabase" localSheetId="1" hidden="1">patient!$A$1:$W$102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4" i="22" l="1"/>
  <c r="M5" i="22"/>
  <c r="M6" i="22"/>
  <c r="M7" i="22"/>
  <c r="M8" i="22"/>
  <c r="M9" i="22"/>
  <c r="M10" i="22"/>
  <c r="M11" i="22"/>
  <c r="M12" i="22"/>
  <c r="M13" i="22"/>
  <c r="M14" i="22"/>
  <c r="M15" i="22"/>
  <c r="M16" i="22"/>
  <c r="M17" i="22"/>
  <c r="M18" i="22"/>
  <c r="M19" i="22"/>
  <c r="M20" i="22"/>
  <c r="M21" i="22"/>
  <c r="M22" i="22"/>
  <c r="M23" i="22"/>
  <c r="M24" i="22"/>
  <c r="M25" i="22"/>
  <c r="M26" i="22"/>
  <c r="M27" i="22"/>
  <c r="M28" i="22"/>
  <c r="M29" i="22"/>
  <c r="M30" i="22"/>
  <c r="M31" i="22"/>
  <c r="M32" i="22"/>
  <c r="M33" i="22"/>
  <c r="M34" i="22"/>
  <c r="M35" i="22"/>
  <c r="M36" i="22"/>
  <c r="M37" i="22"/>
  <c r="M38" i="22"/>
  <c r="M39" i="22"/>
  <c r="M40" i="22"/>
  <c r="M41" i="22"/>
  <c r="M42" i="22"/>
  <c r="M43" i="22"/>
  <c r="M44" i="22"/>
  <c r="M45" i="22"/>
  <c r="M46" i="22"/>
  <c r="M47" i="22"/>
  <c r="M48" i="22"/>
  <c r="M49" i="22"/>
  <c r="M50" i="22"/>
  <c r="M51" i="22"/>
  <c r="M52" i="22"/>
  <c r="M53" i="22"/>
  <c r="M54" i="22"/>
  <c r="M55" i="22"/>
  <c r="M56" i="22"/>
  <c r="M57" i="22"/>
  <c r="M58" i="22"/>
  <c r="M59" i="22"/>
  <c r="M60" i="22"/>
  <c r="M61" i="22"/>
  <c r="M62" i="22"/>
  <c r="M63" i="22"/>
  <c r="M64" i="22"/>
  <c r="M65" i="22"/>
  <c r="M66" i="22"/>
  <c r="M67" i="22"/>
  <c r="M68" i="22"/>
  <c r="M69" i="22"/>
  <c r="M70" i="22"/>
  <c r="M71" i="22"/>
  <c r="M72" i="22"/>
  <c r="M73" i="22"/>
  <c r="M74" i="22"/>
  <c r="M75" i="22"/>
  <c r="M76" i="22"/>
  <c r="M77" i="22"/>
  <c r="M78" i="22"/>
  <c r="M79" i="22"/>
  <c r="M80" i="22"/>
  <c r="M81" i="22"/>
  <c r="M82" i="22"/>
  <c r="M83" i="22"/>
  <c r="M84" i="22"/>
  <c r="M85" i="22"/>
  <c r="M86" i="22"/>
  <c r="M87" i="22"/>
  <c r="M88" i="22"/>
  <c r="M89" i="22"/>
  <c r="M90" i="22"/>
  <c r="M91" i="22"/>
  <c r="M92" i="22"/>
  <c r="M93" i="22"/>
  <c r="M94" i="22"/>
  <c r="M95" i="22"/>
  <c r="M96" i="22"/>
  <c r="M97" i="22"/>
  <c r="M98" i="22"/>
  <c r="M99" i="22"/>
  <c r="M100" i="22"/>
  <c r="M101" i="22"/>
  <c r="M102" i="22"/>
  <c r="M3" i="22"/>
</calcChain>
</file>

<file path=xl/sharedStrings.xml><?xml version="1.0" encoding="utf-8"?>
<sst xmlns="http://schemas.openxmlformats.org/spreadsheetml/2006/main" count="1755" uniqueCount="286">
  <si>
    <t>Masculin</t>
  </si>
  <si>
    <t>Féminin</t>
  </si>
  <si>
    <t>Positif</t>
  </si>
  <si>
    <t>Négatif</t>
  </si>
  <si>
    <t>Non attribuable</t>
  </si>
  <si>
    <t>idPatient</t>
  </si>
  <si>
    <t>BrasTrait</t>
  </si>
  <si>
    <t>sexe</t>
  </si>
  <si>
    <t>DateNais</t>
  </si>
  <si>
    <t>Taille</t>
  </si>
  <si>
    <t>ResTG</t>
  </si>
  <si>
    <t>Poids</t>
  </si>
  <si>
    <t>Gepaisse</t>
  </si>
  <si>
    <t>Pstemie</t>
  </si>
  <si>
    <t>Spot_Sang</t>
  </si>
  <si>
    <t>Eindes</t>
  </si>
  <si>
    <t>Gauche</t>
  </si>
  <si>
    <t>Droite</t>
  </si>
  <si>
    <t>Medic</t>
  </si>
  <si>
    <t>DescrEI</t>
  </si>
  <si>
    <t>Date_Debut</t>
  </si>
  <si>
    <t>Date_Fin</t>
  </si>
  <si>
    <t>Intensité</t>
  </si>
  <si>
    <t>Gravité</t>
  </si>
  <si>
    <t>ActPriseEI</t>
  </si>
  <si>
    <t>DevSuiteEI</t>
  </si>
  <si>
    <t>RelAvecTrait</t>
  </si>
  <si>
    <t>LEGER</t>
  </si>
  <si>
    <t>MODERE</t>
  </si>
  <si>
    <t>SEVERE</t>
  </si>
  <si>
    <t>GRAVE</t>
  </si>
  <si>
    <t>NON GRAVE</t>
  </si>
  <si>
    <t>HOSPITALISATION</t>
  </si>
  <si>
    <t>AUCUNE  ACTION</t>
  </si>
  <si>
    <t>AUTRE  MEDICAMENT</t>
  </si>
  <si>
    <t>DOSE  REDUITE</t>
  </si>
  <si>
    <t>RESOLU</t>
  </si>
  <si>
    <t>NON RESOLU</t>
  </si>
  <si>
    <t>DECES</t>
  </si>
  <si>
    <t>SEQUELLES</t>
  </si>
  <si>
    <t>EN COURS DE RESOLUTION</t>
  </si>
  <si>
    <t>INCONNU</t>
  </si>
  <si>
    <t>Ne SAIT PAS</t>
  </si>
  <si>
    <t>NON</t>
  </si>
  <si>
    <t>OUI</t>
  </si>
  <si>
    <t>POSSIBLE</t>
  </si>
  <si>
    <t>Doliprane</t>
  </si>
  <si>
    <t>None</t>
  </si>
  <si>
    <t>20/12/1999</t>
  </si>
  <si>
    <t>Ventoline</t>
  </si>
  <si>
    <t>Respiration</t>
  </si>
  <si>
    <t>20/05/2019</t>
  </si>
  <si>
    <t>20/06/2019</t>
  </si>
  <si>
    <t>Aspirine</t>
  </si>
  <si>
    <t>Vision floue</t>
  </si>
  <si>
    <t>Eri</t>
  </si>
  <si>
    <t>Vertiges, Naussées</t>
  </si>
  <si>
    <t>25/03/2019</t>
  </si>
  <si>
    <t>30/03/2019</t>
  </si>
  <si>
    <t>20/03/1991</t>
  </si>
  <si>
    <t>Genset</t>
  </si>
  <si>
    <t>Démangeaison</t>
  </si>
  <si>
    <t>15/10/2019</t>
  </si>
  <si>
    <t>Méquitazine</t>
  </si>
  <si>
    <t>Hypertension</t>
  </si>
  <si>
    <t>25/12/2019</t>
  </si>
  <si>
    <t>20/10/1999</t>
  </si>
  <si>
    <t>constipation</t>
  </si>
  <si>
    <t>22/09/2019</t>
  </si>
  <si>
    <t>allergine</t>
  </si>
  <si>
    <t>problémes respiratoires</t>
  </si>
  <si>
    <t>23/05/2019</t>
  </si>
  <si>
    <t>aspirine</t>
  </si>
  <si>
    <t>hémorragie</t>
  </si>
  <si>
    <t>23/03/2019</t>
  </si>
  <si>
    <t>Vertige</t>
  </si>
  <si>
    <t>28/10/2002</t>
  </si>
  <si>
    <t>balonnement</t>
  </si>
  <si>
    <t>19/12/2019</t>
  </si>
  <si>
    <t>28/10/2000</t>
  </si>
  <si>
    <t>Omegen</t>
  </si>
  <si>
    <t>19/01/2019</t>
  </si>
  <si>
    <t>fébrilex</t>
  </si>
  <si>
    <t>vomissement</t>
  </si>
  <si>
    <t>14/04/2019</t>
  </si>
  <si>
    <t>vertiges, fatigue</t>
  </si>
  <si>
    <t>Flagyl</t>
  </si>
  <si>
    <t>Brulures d'estomac</t>
  </si>
  <si>
    <t>hémorragie digestive</t>
  </si>
  <si>
    <t>Ubiproféne</t>
  </si>
  <si>
    <t>vertiges</t>
  </si>
  <si>
    <t>Perfalgan</t>
  </si>
  <si>
    <t>temblements</t>
  </si>
  <si>
    <t>Amoxiline</t>
  </si>
  <si>
    <t>vision Floue</t>
  </si>
  <si>
    <t>27/06/2019</t>
  </si>
  <si>
    <t>30/06/2019</t>
  </si>
  <si>
    <t>Eferalgan</t>
  </si>
  <si>
    <t>Somnolence</t>
  </si>
  <si>
    <t>24/04/1962</t>
  </si>
  <si>
    <t>Dynamogéne</t>
  </si>
  <si>
    <t>30/12/2019</t>
  </si>
  <si>
    <t>24/04/1997</t>
  </si>
  <si>
    <t>antadys</t>
  </si>
  <si>
    <t>crampes Musculaires</t>
  </si>
  <si>
    <t>25/02/2019</t>
  </si>
  <si>
    <t>29/02/2019</t>
  </si>
  <si>
    <t>27/04/1997</t>
  </si>
  <si>
    <t>novalgin</t>
  </si>
  <si>
    <t>difficulté respiratoire</t>
  </si>
  <si>
    <t>27/04/1965</t>
  </si>
  <si>
    <t>sérétide</t>
  </si>
  <si>
    <t>démangeaisons</t>
  </si>
  <si>
    <t>25/09/2019</t>
  </si>
  <si>
    <t>20/10/2019</t>
  </si>
  <si>
    <t>20/11/2019</t>
  </si>
  <si>
    <t>perfalgan</t>
  </si>
  <si>
    <t>hallucinations</t>
  </si>
  <si>
    <t>12/072019</t>
  </si>
  <si>
    <t>paracétamol</t>
  </si>
  <si>
    <t>naussées</t>
  </si>
  <si>
    <t>omégen</t>
  </si>
  <si>
    <t>ballonement</t>
  </si>
  <si>
    <t>27/02/2019</t>
  </si>
  <si>
    <t>30/02/2019</t>
  </si>
  <si>
    <t>28/10/1996</t>
  </si>
  <si>
    <t>gaviscon</t>
  </si>
  <si>
    <t>27/07/2019</t>
  </si>
  <si>
    <t>28/10/1992</t>
  </si>
  <si>
    <t xml:space="preserve">aspirine </t>
  </si>
  <si>
    <t>vision floue</t>
  </si>
  <si>
    <t>Bipreterax</t>
  </si>
  <si>
    <t>accélération rythme cardiaque</t>
  </si>
  <si>
    <t>15/07/2019</t>
  </si>
  <si>
    <t>erruption cutanée</t>
  </si>
  <si>
    <t>21/07/2019</t>
  </si>
  <si>
    <t>15/04/1989</t>
  </si>
  <si>
    <t>Ilax</t>
  </si>
  <si>
    <t>Vomissement</t>
  </si>
  <si>
    <t>19/04/1989</t>
  </si>
  <si>
    <t>ventoline</t>
  </si>
  <si>
    <t>somnolence</t>
  </si>
  <si>
    <t>17/07/2019</t>
  </si>
  <si>
    <t>19/04/1970</t>
  </si>
  <si>
    <t>crampe musculaire</t>
  </si>
  <si>
    <t>21/09/2019</t>
  </si>
  <si>
    <t>19/04/1956</t>
  </si>
  <si>
    <t>15/09/2019</t>
  </si>
  <si>
    <t>19/09/2019</t>
  </si>
  <si>
    <t>imc</t>
  </si>
  <si>
    <t>nature</t>
  </si>
  <si>
    <t>age</t>
  </si>
  <si>
    <t>Surpoids</t>
  </si>
  <si>
    <t>19/04/1948</t>
  </si>
  <si>
    <t>alvityl</t>
  </si>
  <si>
    <t>vomissements</t>
  </si>
  <si>
    <t>15/12/2019</t>
  </si>
  <si>
    <t>31/12/2019</t>
  </si>
  <si>
    <t>Poids normal</t>
  </si>
  <si>
    <t>Maigreur</t>
  </si>
  <si>
    <t>31/01/1999</t>
  </si>
  <si>
    <t>Obésité modérée</t>
  </si>
  <si>
    <t>Obésité sévère</t>
  </si>
  <si>
    <t>Obésité morbide ou massive</t>
  </si>
  <si>
    <t>genset</t>
  </si>
  <si>
    <t>30/07/1952</t>
  </si>
  <si>
    <t>magnesium</t>
  </si>
  <si>
    <t>crampes</t>
  </si>
  <si>
    <t>14/12/2019</t>
  </si>
  <si>
    <t>25/05/1957</t>
  </si>
  <si>
    <t>tremblements</t>
  </si>
  <si>
    <t>dilatations des papilles</t>
  </si>
  <si>
    <t xml:space="preserve">dilatations des papilles </t>
  </si>
  <si>
    <t xml:space="preserve">allergine </t>
  </si>
  <si>
    <t>céphalés</t>
  </si>
  <si>
    <t>18/05/1990</t>
  </si>
  <si>
    <t>antinorex</t>
  </si>
  <si>
    <t>18/11/1990</t>
  </si>
  <si>
    <t>26/11/1990</t>
  </si>
  <si>
    <t>vertige</t>
  </si>
  <si>
    <t>20/01/2019</t>
  </si>
  <si>
    <t>24/11/2019</t>
  </si>
  <si>
    <t>20/02/2007</t>
  </si>
  <si>
    <t>25/11/2019</t>
  </si>
  <si>
    <t>27/11/2019</t>
  </si>
  <si>
    <t>20/03/2001</t>
  </si>
  <si>
    <t>Hallucination</t>
  </si>
  <si>
    <t>30/11/2019</t>
  </si>
  <si>
    <t>20/03/2010</t>
  </si>
  <si>
    <t>Bioreterax</t>
  </si>
  <si>
    <t>Hallucinations</t>
  </si>
  <si>
    <t>25/01/2019</t>
  </si>
  <si>
    <t>14/02/1999</t>
  </si>
  <si>
    <t>14/02/1978</t>
  </si>
  <si>
    <t>Erruption cutanée</t>
  </si>
  <si>
    <t>15/01/2019</t>
  </si>
  <si>
    <t>24/02/1978</t>
  </si>
  <si>
    <t>15/02/2019</t>
  </si>
  <si>
    <t>21/02/2019</t>
  </si>
  <si>
    <t>24/02/1958</t>
  </si>
  <si>
    <t>probléme respiration</t>
  </si>
  <si>
    <t>15/03/2019</t>
  </si>
  <si>
    <t>21/04/2019</t>
  </si>
  <si>
    <t>24/02/1992</t>
  </si>
  <si>
    <t>Erruption Cutané</t>
  </si>
  <si>
    <t>24/04/1992</t>
  </si>
  <si>
    <t>problémes respiration</t>
  </si>
  <si>
    <t>Fébrilex</t>
  </si>
  <si>
    <t>22/03/2109</t>
  </si>
  <si>
    <t>22/03/2019</t>
  </si>
  <si>
    <t>litacold</t>
  </si>
  <si>
    <t>23/09/1998</t>
  </si>
  <si>
    <t>22/09/1998</t>
  </si>
  <si>
    <t>Sérétide</t>
  </si>
  <si>
    <t>Crampes</t>
  </si>
  <si>
    <t>Ceampes</t>
  </si>
  <si>
    <t>22/11/2019</t>
  </si>
  <si>
    <t>22/09/1951</t>
  </si>
  <si>
    <t>22/09/1986</t>
  </si>
  <si>
    <t xml:space="preserve">Allergine </t>
  </si>
  <si>
    <t>22/09/1993</t>
  </si>
  <si>
    <t>22/07/2019</t>
  </si>
  <si>
    <t>25/07/2019</t>
  </si>
  <si>
    <t>22/09/1990</t>
  </si>
  <si>
    <t>bipreterax</t>
  </si>
  <si>
    <t>22/12/2019</t>
  </si>
  <si>
    <t>22/09/2005</t>
  </si>
  <si>
    <t>22/09/2015</t>
  </si>
  <si>
    <t>Gaviscon</t>
  </si>
  <si>
    <t>22/09/2000</t>
  </si>
  <si>
    <t>21/01/2020</t>
  </si>
  <si>
    <t>22/09/1995</t>
  </si>
  <si>
    <t>Diarrhée</t>
  </si>
  <si>
    <t>crampes pulmonaires</t>
  </si>
  <si>
    <t>21/12/2019</t>
  </si>
  <si>
    <t>22/09/1981</t>
  </si>
  <si>
    <t xml:space="preserve">Aspirine </t>
  </si>
  <si>
    <t>Vertiges</t>
  </si>
  <si>
    <t>23/10/1991</t>
  </si>
  <si>
    <t>Naussée</t>
  </si>
  <si>
    <t>ubiproféne</t>
  </si>
  <si>
    <t>augmentation rythme cardiaque</t>
  </si>
  <si>
    <t>23/06/1949</t>
  </si>
  <si>
    <t>16/09/2019</t>
  </si>
  <si>
    <t>Sévére</t>
  </si>
  <si>
    <t>enflements</t>
  </si>
  <si>
    <t>20/02/2019</t>
  </si>
  <si>
    <t>enflement</t>
  </si>
  <si>
    <t>25/04/2019</t>
  </si>
  <si>
    <t>Antinorex</t>
  </si>
  <si>
    <t>17/06/2019</t>
  </si>
  <si>
    <t>bipretax</t>
  </si>
  <si>
    <t>Accélération rythme cardiaque</t>
  </si>
  <si>
    <t>22/08/2019</t>
  </si>
  <si>
    <t>Amoxciline</t>
  </si>
  <si>
    <t>Fatigue</t>
  </si>
  <si>
    <t>15/04/2019</t>
  </si>
  <si>
    <t>18/04/2019</t>
  </si>
  <si>
    <t>15/11/2019</t>
  </si>
  <si>
    <t xml:space="preserve">Sérétide </t>
  </si>
  <si>
    <t>27/10/2019</t>
  </si>
  <si>
    <t>30/10/2019</t>
  </si>
  <si>
    <t>Dénutrition ou anorexie</t>
  </si>
  <si>
    <t>patient</t>
  </si>
  <si>
    <t>nature IMC</t>
  </si>
  <si>
    <t>maigreur</t>
  </si>
  <si>
    <t>poids normal</t>
  </si>
  <si>
    <t>surpoids</t>
  </si>
  <si>
    <t>Héliconacter</t>
  </si>
  <si>
    <t>20/01/2004</t>
  </si>
  <si>
    <t>doliprane</t>
  </si>
  <si>
    <t>Toux</t>
  </si>
  <si>
    <t>20/02/2010</t>
  </si>
  <si>
    <t>25/02/2010</t>
  </si>
  <si>
    <t>25/04/1979</t>
  </si>
  <si>
    <t>nausée</t>
  </si>
  <si>
    <t>Démangeison</t>
  </si>
  <si>
    <t>maalox</t>
  </si>
  <si>
    <t>Maalox</t>
  </si>
  <si>
    <t>RELATION</t>
  </si>
  <si>
    <t>PART</t>
  </si>
  <si>
    <t>Possible</t>
  </si>
  <si>
    <t>oui</t>
  </si>
  <si>
    <t>Ne Sait Pas</t>
  </si>
  <si>
    <t>non</t>
  </si>
  <si>
    <t>Bienvenue sur l'application de la gestion et suivi des patients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</si>
</sst>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"/>
  </numFmts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5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5" tint="-0.249977111117893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sz val="16"/>
      <color theme="1"/>
      <name val="Arial Black"/>
      <family val="2"/>
    </font>
    <font>
      <sz val="11"/>
      <color rgb="FF008000"/>
      <name val="Bahnschrift SemiBold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5" tint="0.79998168889431442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5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/>
    </xf>
    <xf numFmtId="164" fontId="2" fillId="0" borderId="0" xfId="0" applyNumberFormat="1" applyFont="1" applyAlignment="1">
      <alignment horizontal="left"/>
    </xf>
    <xf numFmtId="0" fontId="6" fillId="2" borderId="0" xfId="0" applyFont="1" applyFill="1" applyAlignment="1">
      <alignment horizontal="left"/>
    </xf>
    <xf numFmtId="0" fontId="7" fillId="3" borderId="0" xfId="0" applyFont="1" applyFill="1"/>
    <xf numFmtId="0" fontId="4" fillId="0" borderId="0" xfId="0" applyFont="1"/>
    <xf numFmtId="0" fontId="8" fillId="0" borderId="0" xfId="0" applyFont="1"/>
    <xf numFmtId="0" fontId="0" fillId="3" borderId="0" xfId="0" applyFill="1"/>
    <xf numFmtId="0" fontId="3" fillId="2" borderId="0" xfId="0" applyFont="1" applyFill="1" applyAlignment="1">
      <alignment horizontal="left"/>
    </xf>
    <xf numFmtId="0" fontId="3" fillId="3" borderId="0" xfId="0" applyFont="1" applyFill="1" applyAlignment="1">
      <alignment horizontal="left"/>
    </xf>
    <xf numFmtId="0" fontId="5" fillId="3" borderId="1" xfId="0" applyFont="1" applyFill="1" applyBorder="1" applyAlignment="1">
      <alignment horizontal="left"/>
    </xf>
    <xf numFmtId="0" fontId="0" fillId="3" borderId="0" xfId="0" applyFill="1" applyBorder="1"/>
    <xf numFmtId="0" fontId="3" fillId="2" borderId="0" xfId="0" applyFont="1" applyFill="1" applyBorder="1" applyAlignment="1">
      <alignment horizontal="left"/>
    </xf>
    <xf numFmtId="0" fontId="3" fillId="3" borderId="0" xfId="0" applyFont="1" applyFill="1" applyBorder="1" applyAlignment="1">
      <alignment horizontal="left"/>
    </xf>
  </cellXfs>
  <cellStyles count="1">
    <cellStyle name="Normal" xfId="0" builtinId="0"/>
  </cellStyles>
  <dxfs count="37">
    <dxf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5" tint="-0.249977111117893"/>
        <name val="Calibri"/>
        <scheme val="minor"/>
      </font>
      <fill>
        <patternFill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5" tint="-0.249977111117893"/>
        <name val="Calibri"/>
        <scheme val="minor"/>
      </font>
      <fill>
        <patternFill>
          <bgColor theme="0"/>
        </patternFill>
      </fill>
      <alignment horizontal="left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5" tint="-0.249977111117893"/>
        <name val="Calibri"/>
        <scheme val="minor"/>
      </font>
      <fill>
        <patternFill>
          <bgColor theme="0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theme="5"/>
        </top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5" tint="-0.249977111117893"/>
        <name val="Calibri"/>
        <scheme val="minor"/>
      </font>
      <fill>
        <patternFill>
          <bgColor theme="0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5" tint="-0.249977111117893"/>
        <name val="Calibri"/>
        <scheme val="minor"/>
      </font>
      <fill>
        <patternFill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theme="5" tint="0.79998168889431442"/>
          <bgColor theme="0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4" formatCode="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9" formatCode="dd/mm/yy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9" formatCode="dd/mm/yy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9" formatCode="dd/mm/yyyy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6729002624671917E-2"/>
          <c:y val="7.8703703703703706E-2"/>
          <c:w val="0.53888888888888886"/>
          <c:h val="0.89814814814814814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diagramme_secteurs!$C$2:$C$8</c:f>
              <c:strCache>
                <c:ptCount val="7"/>
                <c:pt idx="0">
                  <c:v>Dénutrition ou anorexie</c:v>
                </c:pt>
                <c:pt idx="1">
                  <c:v>maigreur</c:v>
                </c:pt>
                <c:pt idx="2">
                  <c:v>Obésité modérée</c:v>
                </c:pt>
                <c:pt idx="3">
                  <c:v>Obésité morbide ou massive</c:v>
                </c:pt>
                <c:pt idx="4">
                  <c:v>Obésité sévère</c:v>
                </c:pt>
                <c:pt idx="5">
                  <c:v>poids normal</c:v>
                </c:pt>
                <c:pt idx="6">
                  <c:v>surpoids</c:v>
                </c:pt>
              </c:strCache>
            </c:strRef>
          </c:cat>
          <c:val>
            <c:numRef>
              <c:f>diagramme_secteurs!$D$2:$D$8</c:f>
              <c:numCache>
                <c:formatCode>General</c:formatCode>
                <c:ptCount val="7"/>
                <c:pt idx="0">
                  <c:v>8</c:v>
                </c:pt>
                <c:pt idx="1">
                  <c:v>10</c:v>
                </c:pt>
                <c:pt idx="2">
                  <c:v>16</c:v>
                </c:pt>
                <c:pt idx="3">
                  <c:v>3</c:v>
                </c:pt>
                <c:pt idx="4">
                  <c:v>6</c:v>
                </c:pt>
                <c:pt idx="5">
                  <c:v>24</c:v>
                </c:pt>
                <c:pt idx="6">
                  <c:v>33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la relation du traitement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diagramme_baton!$B$4:$B$7</c:f>
              <c:strCache>
                <c:ptCount val="4"/>
                <c:pt idx="0">
                  <c:v>Ne Sait Pas</c:v>
                </c:pt>
                <c:pt idx="1">
                  <c:v>Possible</c:v>
                </c:pt>
                <c:pt idx="2">
                  <c:v>oui</c:v>
                </c:pt>
                <c:pt idx="3">
                  <c:v>non</c:v>
                </c:pt>
              </c:strCache>
            </c:strRef>
          </c:cat>
          <c:val>
            <c:numRef>
              <c:f>diagramme_baton!$C$4:$C$7</c:f>
              <c:numCache>
                <c:formatCode>General</c:formatCode>
                <c:ptCount val="4"/>
                <c:pt idx="0">
                  <c:v>30</c:v>
                </c:pt>
                <c:pt idx="1">
                  <c:v>27</c:v>
                </c:pt>
                <c:pt idx="2">
                  <c:v>43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57464448"/>
        <c:axId val="257462096"/>
        <c:axId val="0"/>
      </c:bar3DChart>
      <c:catAx>
        <c:axId val="25746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57462096"/>
        <c:crosses val="autoZero"/>
        <c:auto val="1"/>
        <c:lblAlgn val="ctr"/>
        <c:lblOffset val="100"/>
        <c:noMultiLvlLbl val="0"/>
      </c:catAx>
      <c:valAx>
        <c:axId val="257462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5746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Graphique_nuagePoint!$M$2</c:f>
              <c:strCache>
                <c:ptCount val="1"/>
                <c:pt idx="0">
                  <c:v>imc</c:v>
                </c:pt>
              </c:strCache>
            </c:strRef>
          </c:tx>
          <c:spPr>
            <a:ln w="25400" cap="rnd">
              <a:noFill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yVal>
            <c:numRef>
              <c:f>Graphique_nuagePoint!$M$3:$M$102</c:f>
              <c:numCache>
                <c:formatCode>General</c:formatCode>
                <c:ptCount val="100"/>
                <c:pt idx="0">
                  <c:v>20.202020202020197</c:v>
                </c:pt>
                <c:pt idx="1">
                  <c:v>21.604938271604937</c:v>
                </c:pt>
                <c:pt idx="2">
                  <c:v>28.010223731662059</c:v>
                </c:pt>
                <c:pt idx="3">
                  <c:v>21.733535417083701</c:v>
                </c:pt>
                <c:pt idx="4">
                  <c:v>28.076319285110493</c:v>
                </c:pt>
                <c:pt idx="5">
                  <c:v>30.778701138811947</c:v>
                </c:pt>
                <c:pt idx="6">
                  <c:v>17.959183673469386</c:v>
                </c:pt>
                <c:pt idx="7">
                  <c:v>27.776929886145112</c:v>
                </c:pt>
                <c:pt idx="8">
                  <c:v>21.007667798746546</c:v>
                </c:pt>
                <c:pt idx="9">
                  <c:v>30.470914127423821</c:v>
                </c:pt>
                <c:pt idx="10">
                  <c:v>15.570934256055365</c:v>
                </c:pt>
                <c:pt idx="11">
                  <c:v>27.681660899653981</c:v>
                </c:pt>
                <c:pt idx="12">
                  <c:v>31.644317867172973</c:v>
                </c:pt>
                <c:pt idx="13">
                  <c:v>24.151672503320853</c:v>
                </c:pt>
                <c:pt idx="14">
                  <c:v>37.182260681449435</c:v>
                </c:pt>
                <c:pt idx="15">
                  <c:v>19.605191995673341</c:v>
                </c:pt>
                <c:pt idx="16">
                  <c:v>26.365603028664147</c:v>
                </c:pt>
                <c:pt idx="17">
                  <c:v>32.46618106139438</c:v>
                </c:pt>
                <c:pt idx="18">
                  <c:v>29.721079103795148</c:v>
                </c:pt>
                <c:pt idx="19">
                  <c:v>14.792899408284022</c:v>
                </c:pt>
                <c:pt idx="20">
                  <c:v>32.871972318339104</c:v>
                </c:pt>
                <c:pt idx="21">
                  <c:v>19.031141868512112</c:v>
                </c:pt>
                <c:pt idx="22">
                  <c:v>41.234895478504072</c:v>
                </c:pt>
                <c:pt idx="23">
                  <c:v>33.240837090993175</c:v>
                </c:pt>
                <c:pt idx="24">
                  <c:v>18.78829922534397</c:v>
                </c:pt>
                <c:pt idx="25">
                  <c:v>17.921146953405014</c:v>
                </c:pt>
                <c:pt idx="26">
                  <c:v>25.03991871098853</c:v>
                </c:pt>
                <c:pt idx="27">
                  <c:v>29.031789809841772</c:v>
                </c:pt>
                <c:pt idx="28">
                  <c:v>42.039542143600414</c:v>
                </c:pt>
                <c:pt idx="29">
                  <c:v>15.91695501730104</c:v>
                </c:pt>
                <c:pt idx="30">
                  <c:v>30.795847750865054</c:v>
                </c:pt>
                <c:pt idx="31">
                  <c:v>28.089887640449437</c:v>
                </c:pt>
                <c:pt idx="32">
                  <c:v>17.043302613306402</c:v>
                </c:pt>
                <c:pt idx="33">
                  <c:v>17.043302613306402</c:v>
                </c:pt>
                <c:pt idx="34">
                  <c:v>23.456790123456788</c:v>
                </c:pt>
                <c:pt idx="35">
                  <c:v>31.79012345679012</c:v>
                </c:pt>
                <c:pt idx="36">
                  <c:v>30.062101973814325</c:v>
                </c:pt>
                <c:pt idx="37">
                  <c:v>28.405504355510669</c:v>
                </c:pt>
                <c:pt idx="38">
                  <c:v>30.299204645878046</c:v>
                </c:pt>
                <c:pt idx="39">
                  <c:v>27.458654210326976</c:v>
                </c:pt>
                <c:pt idx="40">
                  <c:v>19.568236333796236</c:v>
                </c:pt>
                <c:pt idx="41">
                  <c:v>21.222808276895229</c:v>
                </c:pt>
                <c:pt idx="42">
                  <c:v>16.92003331945023</c:v>
                </c:pt>
                <c:pt idx="43">
                  <c:v>25.076193048107708</c:v>
                </c:pt>
                <c:pt idx="44">
                  <c:v>29.319856487018246</c:v>
                </c:pt>
                <c:pt idx="45">
                  <c:v>25.990903183885642</c:v>
                </c:pt>
                <c:pt idx="46">
                  <c:v>29.410758865975858</c:v>
                </c:pt>
                <c:pt idx="47">
                  <c:v>21.929223431375235</c:v>
                </c:pt>
                <c:pt idx="48">
                  <c:v>23.848030481620569</c:v>
                </c:pt>
                <c:pt idx="49">
                  <c:v>31.1950948402596</c:v>
                </c:pt>
                <c:pt idx="50">
                  <c:v>13.888888888888889</c:v>
                </c:pt>
                <c:pt idx="51">
                  <c:v>19.976218787158146</c:v>
                </c:pt>
                <c:pt idx="52">
                  <c:v>32.342449464922709</c:v>
                </c:pt>
                <c:pt idx="53">
                  <c:v>35.154137371552196</c:v>
                </c:pt>
                <c:pt idx="54">
                  <c:v>29.839409722222221</c:v>
                </c:pt>
                <c:pt idx="55">
                  <c:v>26.85546875</c:v>
                </c:pt>
                <c:pt idx="56">
                  <c:v>35.436671239140367</c:v>
                </c:pt>
                <c:pt idx="57">
                  <c:v>35.436671239140367</c:v>
                </c:pt>
                <c:pt idx="58">
                  <c:v>24.767565919829291</c:v>
                </c:pt>
                <c:pt idx="59">
                  <c:v>24.767565919829291</c:v>
                </c:pt>
                <c:pt idx="60">
                  <c:v>20.303697560696612</c:v>
                </c:pt>
                <c:pt idx="61">
                  <c:v>26.023048986244955</c:v>
                </c:pt>
                <c:pt idx="62">
                  <c:v>26.023048986244955</c:v>
                </c:pt>
                <c:pt idx="63">
                  <c:v>26.023048986244955</c:v>
                </c:pt>
                <c:pt idx="64">
                  <c:v>26.023048986244955</c:v>
                </c:pt>
                <c:pt idx="65">
                  <c:v>26.023048986244955</c:v>
                </c:pt>
                <c:pt idx="66">
                  <c:v>26.023048986244955</c:v>
                </c:pt>
                <c:pt idx="67">
                  <c:v>26.023048986244955</c:v>
                </c:pt>
                <c:pt idx="68">
                  <c:v>26.023048986244955</c:v>
                </c:pt>
                <c:pt idx="69">
                  <c:v>17.444021847922443</c:v>
                </c:pt>
                <c:pt idx="70">
                  <c:v>17.444021847922443</c:v>
                </c:pt>
                <c:pt idx="71">
                  <c:v>17.444021847922443</c:v>
                </c:pt>
                <c:pt idx="72">
                  <c:v>16.042077580539122</c:v>
                </c:pt>
                <c:pt idx="73">
                  <c:v>22.87968441814596</c:v>
                </c:pt>
                <c:pt idx="74">
                  <c:v>22.87968441814596</c:v>
                </c:pt>
                <c:pt idx="75">
                  <c:v>22.87968441814596</c:v>
                </c:pt>
                <c:pt idx="76">
                  <c:v>35.749506903353051</c:v>
                </c:pt>
                <c:pt idx="77">
                  <c:v>32.873109796186718</c:v>
                </c:pt>
                <c:pt idx="78">
                  <c:v>32.873109796186718</c:v>
                </c:pt>
                <c:pt idx="79">
                  <c:v>32.873109796186718</c:v>
                </c:pt>
                <c:pt idx="80">
                  <c:v>23.011176857330703</c:v>
                </c:pt>
                <c:pt idx="81">
                  <c:v>12.913223140495868</c:v>
                </c:pt>
                <c:pt idx="82">
                  <c:v>13.412228796844182</c:v>
                </c:pt>
                <c:pt idx="83">
                  <c:v>13.412228796844182</c:v>
                </c:pt>
                <c:pt idx="84">
                  <c:v>20.74506939371804</c:v>
                </c:pt>
                <c:pt idx="85">
                  <c:v>29.552549427679498</c:v>
                </c:pt>
                <c:pt idx="86">
                  <c:v>29.552549427679498</c:v>
                </c:pt>
                <c:pt idx="87">
                  <c:v>26.078971533516981</c:v>
                </c:pt>
                <c:pt idx="88">
                  <c:v>29.752066115702473</c:v>
                </c:pt>
                <c:pt idx="89">
                  <c:v>29.714285714285715</c:v>
                </c:pt>
                <c:pt idx="90">
                  <c:v>35.546874999999993</c:v>
                </c:pt>
                <c:pt idx="91">
                  <c:v>24.056934745564501</c:v>
                </c:pt>
                <c:pt idx="92">
                  <c:v>16.872086705367607</c:v>
                </c:pt>
                <c:pt idx="93">
                  <c:v>28.086419753086417</c:v>
                </c:pt>
                <c:pt idx="94">
                  <c:v>16.666666666666664</c:v>
                </c:pt>
                <c:pt idx="95">
                  <c:v>25.925925925925924</c:v>
                </c:pt>
                <c:pt idx="96">
                  <c:v>25.925925925925924</c:v>
                </c:pt>
                <c:pt idx="97">
                  <c:v>31.588613406795218</c:v>
                </c:pt>
                <c:pt idx="98">
                  <c:v>22.405876951331493</c:v>
                </c:pt>
                <c:pt idx="99">
                  <c:v>84.739571919059117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464056"/>
        <c:axId val="257465232"/>
      </c:scatterChart>
      <c:valAx>
        <c:axId val="257464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57465232"/>
        <c:crosses val="autoZero"/>
        <c:crossBetween val="midCat"/>
      </c:valAx>
      <c:valAx>
        <c:axId val="257465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57464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438150</xdr:colOff>
      <xdr:row>1</xdr:row>
      <xdr:rowOff>9525</xdr:rowOff>
    </xdr:from>
    <xdr:to>
      <xdr:col>3</xdr:col>
      <xdr:colOff>722693</xdr:colOff>
      <xdr:row>4</xdr:row>
      <xdr:rowOff>76199</xdr:rowOff>
    </xdr:to>
    <xdr:pic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0150" y="200025"/>
          <a:ext cx="1808543" cy="761999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5</xdr:row>
          <xdr:rowOff>95250</xdr:rowOff>
        </xdr:from>
        <xdr:to>
          <xdr:col>10</xdr:col>
          <xdr:colOff>133350</xdr:colOff>
          <xdr:row>9</xdr:row>
          <xdr:rowOff>142875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8000"/>
                  </a:solidFill>
                  <a:latin typeface="Bahnschrift SemiBold"/>
                </a:rPr>
                <a:t>FORMULAIRE DE SAISIE DES PATIENTS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11</xdr:row>
          <xdr:rowOff>85725</xdr:rowOff>
        </xdr:from>
        <xdr:to>
          <xdr:col>10</xdr:col>
          <xdr:colOff>209550</xdr:colOff>
          <xdr:row>15</xdr:row>
          <xdr:rowOff>133350</xdr:rowOff>
        </xdr:to>
        <xdr:sp macro="" textlink="">
          <xdr:nvSpPr>
            <xdr:cNvPr id="31746" name="Button 2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8000"/>
                  </a:solidFill>
                  <a:latin typeface="Bahnschrift SemiBold"/>
                </a:rPr>
                <a:t>SUIVI DES DONNEES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676275</xdr:colOff>
          <xdr:row>16</xdr:row>
          <xdr:rowOff>133350</xdr:rowOff>
        </xdr:from>
        <xdr:to>
          <xdr:col>10</xdr:col>
          <xdr:colOff>180975</xdr:colOff>
          <xdr:row>20</xdr:row>
          <xdr:rowOff>180975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8000"/>
                  </a:solidFill>
                  <a:latin typeface="Bahnschrift SemiBold"/>
                </a:rPr>
                <a:t>VISUALISATION DES DONNEES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533400</xdr:colOff>
      <xdr:row>0</xdr:row>
      <xdr:rowOff>166686</xdr:rowOff>
    </xdr:from>
    <xdr:to>
      <xdr:col>11</xdr:col>
      <xdr:colOff>419100</xdr:colOff>
      <xdr:row>17</xdr:row>
      <xdr:rowOff>95249</xdr:rowOff>
    </xdr:to>
    <xdr:graphicFrame macro="">
      <xdr:nvGraphicFramePr>
        <xdr:cNvPr id="5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447675</xdr:colOff>
      <xdr:row>1</xdr:row>
      <xdr:rowOff>185737</xdr:rowOff>
    </xdr:from>
    <xdr:to>
      <xdr:col>12</xdr:col>
      <xdr:colOff>447675</xdr:colOff>
      <xdr:row>15</xdr:row>
      <xdr:rowOff>128587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304800</xdr:colOff>
      <xdr:row>3</xdr:row>
      <xdr:rowOff>109537</xdr:rowOff>
    </xdr:from>
    <xdr:to>
      <xdr:col>8</xdr:col>
      <xdr:colOff>704850</xdr:colOff>
      <xdr:row>17</xdr:row>
      <xdr:rowOff>142875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au1" displayName="Tableau1" ref="A1:W102" totalsRowShown="0" headerRowDxfId="36" dataDxfId="35">
  <tableColumns count="23">
    <tableColumn id="1" name="idPatient" dataDxfId="34"/>
    <tableColumn id="2" name="BrasTrait" dataDxfId="33"/>
    <tableColumn id="3" name="sexe" dataDxfId="32"/>
    <tableColumn id="4" name="DateNais" dataDxfId="31"/>
    <tableColumn id="5" name="Taille" dataDxfId="30"/>
    <tableColumn id="6" name="Poids" dataDxfId="29"/>
    <tableColumn id="7" name="ResTG" dataDxfId="28"/>
    <tableColumn id="8" name="Gepaisse" dataDxfId="27"/>
    <tableColumn id="9" name="Pstemie" dataDxfId="26"/>
    <tableColumn id="10" name="Spot_Sang" dataDxfId="25"/>
    <tableColumn id="11" name="Eindes" dataDxfId="24"/>
    <tableColumn id="12" name="Medic" dataDxfId="23"/>
    <tableColumn id="13" name="DescrEI" dataDxfId="22"/>
    <tableColumn id="14" name="Date_Debut" dataDxfId="21"/>
    <tableColumn id="15" name="Date_Fin" dataDxfId="20"/>
    <tableColumn id="16" name="Intensité" dataDxfId="19"/>
    <tableColumn id="17" name="Gravité" dataDxfId="18"/>
    <tableColumn id="18" name="ActPriseEI" dataDxfId="17"/>
    <tableColumn id="19" name="DevSuiteEI" dataDxfId="16"/>
    <tableColumn id="20" name="RelAvecTrait" dataDxfId="15"/>
    <tableColumn id="21" name="imc" dataDxfId="14"/>
    <tableColumn id="22" name="nature" dataDxfId="13"/>
    <tableColumn id="23" name="age" dataDxfId="12"/>
  </tableColumns>
  <tableStyleInfo name="TableStyleLight3" showFirstColumn="0" showLastColumn="0" showRowStripes="1" showColumnStripes="0"/>
</table>
</file>

<file path=xl/tables/table2.xml><?xml version="1.0" encoding="utf-8"?>
<table xmlns="http://schemas.openxmlformats.org/spreadsheetml/2006/main" id="2" name="Tableau2" displayName="Tableau2" ref="C1:D8" totalsRowShown="0">
  <autoFilter ref="C1:D8"/>
  <tableColumns count="2">
    <tableColumn id="1" name="nature IMC" dataDxfId="11"/>
    <tableColumn id="2" name="patient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3" name="Tableau3" displayName="Tableau3" ref="F2:F102" totalsRowShown="0" headerRowDxfId="10" dataDxfId="8" headerRowBorderDxfId="9" tableBorderDxfId="7">
  <autoFilter ref="F2:F102"/>
  <tableColumns count="1">
    <tableColumn id="1" name="RelAvecTrait" dataDxfId="6"/>
  </tableColumns>
  <tableStyleInfo name="TableStyleLight12" showFirstColumn="0" showLastColumn="0" showRowStripes="1" showColumnStripes="0"/>
</table>
</file>

<file path=xl/tables/table4.xml><?xml version="1.0" encoding="utf-8"?>
<table xmlns="http://schemas.openxmlformats.org/spreadsheetml/2006/main" id="5" name="Tableau5" displayName="Tableau5" ref="B3:C8" totalsRowShown="0">
  <autoFilter ref="B3:C8"/>
  <tableColumns count="2">
    <tableColumn id="1" name="RELATION"/>
    <tableColumn id="2" name="PART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4" name="Tableau4" displayName="Tableau4" ref="K2:M102" totalsRowShown="0" headerRowDxfId="5" dataDxfId="4" tableBorderDxfId="3">
  <autoFilter ref="K2:M102"/>
  <tableColumns count="3">
    <tableColumn id="1" name="Taille" dataDxfId="2"/>
    <tableColumn id="2" name="Poids" dataDxfId="1"/>
    <tableColumn id="3" name="imc" dataDxfId="0">
      <calculatedColumnFormula>(L3/(K3*0.01)^2)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Jaune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6"/>
  <dimension ref="E2"/>
  <sheetViews>
    <sheetView showGridLines="0" tabSelected="1" workbookViewId="0">
      <selection activeCell="L11" sqref="L11"/>
    </sheetView>
  </sheetViews>
  <sheetFormatPr baseColWidth="10" defaultRowHeight="15" x14ac:dyDescent="0.25"/>
  <sheetData>
    <row r="2" spans="5:5" ht="24.75" x14ac:dyDescent="0.5">
      <c r="E2" s="9" t="s">
        <v>285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outon1_Cliquer">
                <anchor moveWithCells="1" sizeWithCells="1">
                  <from>
                    <xdr:col>5</xdr:col>
                    <xdr:colOff>628650</xdr:colOff>
                    <xdr:row>5</xdr:row>
                    <xdr:rowOff>95250</xdr:rowOff>
                  </from>
                  <to>
                    <xdr:col>10</xdr:col>
                    <xdr:colOff>133350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4" name="Button 2">
              <controlPr defaultSize="0" print="0" autoFill="0" autoPict="0" macro="[0]!Bouton2_Cliquer">
                <anchor moveWithCells="1" sizeWithCells="1">
                  <from>
                    <xdr:col>5</xdr:col>
                    <xdr:colOff>704850</xdr:colOff>
                    <xdr:row>11</xdr:row>
                    <xdr:rowOff>85725</xdr:rowOff>
                  </from>
                  <to>
                    <xdr:col>10</xdr:col>
                    <xdr:colOff>209550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5" name="Button 3">
              <controlPr defaultSize="0" print="0" autoFill="0" autoPict="0" macro="[0]!Bouton3_Cliquer">
                <anchor moveWithCells="1" sizeWithCells="1">
                  <from>
                    <xdr:col>5</xdr:col>
                    <xdr:colOff>676275</xdr:colOff>
                    <xdr:row>16</xdr:row>
                    <xdr:rowOff>133350</xdr:rowOff>
                  </from>
                  <to>
                    <xdr:col>10</xdr:col>
                    <xdr:colOff>180975</xdr:colOff>
                    <xdr:row>20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W102"/>
  <sheetViews>
    <sheetView zoomScaleNormal="100" workbookViewId="0">
      <selection activeCell="U1" sqref="U1:U1048576"/>
    </sheetView>
  </sheetViews>
  <sheetFormatPr baseColWidth="10" defaultRowHeight="15" x14ac:dyDescent="0.25"/>
  <cols>
    <col min="1" max="1" width="12.140625" customWidth="1"/>
    <col min="2" max="2" width="11.85546875" customWidth="1"/>
    <col min="4" max="4" width="11.85546875" bestFit="1" customWidth="1"/>
    <col min="5" max="6" width="11.5703125" bestFit="1" customWidth="1"/>
    <col min="7" max="7" width="16.42578125" customWidth="1"/>
    <col min="8" max="8" width="11.5703125" customWidth="1"/>
    <col min="9" max="9" width="11.5703125" bestFit="1" customWidth="1"/>
    <col min="10" max="10" width="14" customWidth="1"/>
    <col min="11" max="11" width="15.42578125" customWidth="1"/>
    <col min="12" max="12" width="17" customWidth="1"/>
    <col min="13" max="13" width="25.5703125" customWidth="1"/>
    <col min="14" max="14" width="14.85546875" customWidth="1"/>
    <col min="15" max="15" width="13.140625" customWidth="1"/>
    <col min="16" max="16" width="12.7109375" customWidth="1"/>
    <col min="17" max="17" width="15.28515625" customWidth="1"/>
    <col min="18" max="18" width="21.7109375" customWidth="1"/>
    <col min="19" max="19" width="26.85546875" customWidth="1"/>
    <col min="20" max="20" width="15.42578125" customWidth="1"/>
    <col min="21" max="21" width="11.5703125" bestFit="1" customWidth="1"/>
    <col min="22" max="22" width="26.140625" customWidth="1"/>
    <col min="23" max="23" width="11.5703125" bestFit="1" customWidth="1"/>
  </cols>
  <sheetData>
    <row r="1" spans="1:23" ht="15.75" x14ac:dyDescent="0.25">
      <c r="A1" s="1" t="s">
        <v>5</v>
      </c>
      <c r="B1" s="1" t="s">
        <v>6</v>
      </c>
      <c r="C1" s="1" t="s">
        <v>7</v>
      </c>
      <c r="D1" s="2" t="s">
        <v>8</v>
      </c>
      <c r="E1" s="1" t="s">
        <v>9</v>
      </c>
      <c r="F1" s="1" t="s">
        <v>11</v>
      </c>
      <c r="G1" s="1" t="s">
        <v>10</v>
      </c>
      <c r="H1" s="1" t="s">
        <v>12</v>
      </c>
      <c r="I1" s="1" t="s">
        <v>13</v>
      </c>
      <c r="J1" s="1" t="s">
        <v>14</v>
      </c>
      <c r="K1" s="1" t="s">
        <v>15</v>
      </c>
      <c r="L1" s="1" t="s">
        <v>18</v>
      </c>
      <c r="M1" s="1" t="s">
        <v>19</v>
      </c>
      <c r="N1" s="2" t="s">
        <v>20</v>
      </c>
      <c r="O1" s="2" t="s">
        <v>21</v>
      </c>
      <c r="P1" s="1" t="s">
        <v>22</v>
      </c>
      <c r="Q1" s="1" t="s">
        <v>23</v>
      </c>
      <c r="R1" s="1" t="s">
        <v>24</v>
      </c>
      <c r="S1" s="1" t="s">
        <v>25</v>
      </c>
      <c r="T1" s="1" t="s">
        <v>26</v>
      </c>
      <c r="U1" s="1" t="s">
        <v>149</v>
      </c>
      <c r="V1" s="1" t="s">
        <v>150</v>
      </c>
      <c r="W1" s="1" t="s">
        <v>151</v>
      </c>
    </row>
    <row r="2" spans="1:23" ht="15.75" x14ac:dyDescent="0.25">
      <c r="A2" s="3">
        <v>1</v>
      </c>
      <c r="B2" s="3" t="s">
        <v>16</v>
      </c>
      <c r="C2" s="3" t="s">
        <v>1</v>
      </c>
      <c r="D2" s="4" t="s">
        <v>269</v>
      </c>
      <c r="E2" s="3">
        <v>165</v>
      </c>
      <c r="F2" s="3">
        <v>55</v>
      </c>
      <c r="G2" s="3" t="s">
        <v>3</v>
      </c>
      <c r="H2" s="3" t="s">
        <v>3</v>
      </c>
      <c r="I2" s="3">
        <v>12</v>
      </c>
      <c r="J2" s="3" t="s">
        <v>44</v>
      </c>
      <c r="K2" s="3" t="s">
        <v>44</v>
      </c>
      <c r="L2" s="3" t="s">
        <v>270</v>
      </c>
      <c r="M2" s="3" t="s">
        <v>271</v>
      </c>
      <c r="N2" s="4" t="s">
        <v>272</v>
      </c>
      <c r="O2" s="4" t="s">
        <v>273</v>
      </c>
      <c r="P2" s="3" t="s">
        <v>27</v>
      </c>
      <c r="Q2" s="3" t="s">
        <v>31</v>
      </c>
      <c r="R2" s="3" t="s">
        <v>47</v>
      </c>
      <c r="S2" s="3" t="s">
        <v>36</v>
      </c>
      <c r="T2" s="3" t="s">
        <v>44</v>
      </c>
      <c r="U2" s="3">
        <v>20.202020202020197</v>
      </c>
      <c r="V2" s="3" t="s">
        <v>158</v>
      </c>
      <c r="W2" s="5">
        <v>5910</v>
      </c>
    </row>
    <row r="3" spans="1:23" ht="15.75" x14ac:dyDescent="0.25">
      <c r="A3" s="3">
        <v>2</v>
      </c>
      <c r="B3" s="3" t="s">
        <v>16</v>
      </c>
      <c r="C3" s="3" t="s">
        <v>0</v>
      </c>
      <c r="D3" s="4" t="s">
        <v>48</v>
      </c>
      <c r="E3" s="3">
        <v>180</v>
      </c>
      <c r="F3" s="3">
        <v>70</v>
      </c>
      <c r="G3" s="3" t="s">
        <v>47</v>
      </c>
      <c r="H3" s="3" t="s">
        <v>3</v>
      </c>
      <c r="I3" s="3">
        <v>12</v>
      </c>
      <c r="J3" s="3" t="s">
        <v>43</v>
      </c>
      <c r="K3" s="3" t="s">
        <v>44</v>
      </c>
      <c r="L3" s="3" t="s">
        <v>49</v>
      </c>
      <c r="M3" s="3" t="s">
        <v>50</v>
      </c>
      <c r="N3" s="4" t="s">
        <v>51</v>
      </c>
      <c r="O3" s="4" t="s">
        <v>52</v>
      </c>
      <c r="P3" s="3" t="s">
        <v>27</v>
      </c>
      <c r="Q3" s="3" t="s">
        <v>31</v>
      </c>
      <c r="R3" s="3" t="s">
        <v>35</v>
      </c>
      <c r="S3" s="3" t="s">
        <v>36</v>
      </c>
      <c r="T3" s="3" t="s">
        <v>44</v>
      </c>
      <c r="U3" s="3">
        <v>21.604938271604937</v>
      </c>
      <c r="V3" s="3" t="s">
        <v>158</v>
      </c>
      <c r="W3" s="5">
        <v>7402</v>
      </c>
    </row>
    <row r="4" spans="1:23" ht="15.75" x14ac:dyDescent="0.25">
      <c r="A4" s="3">
        <v>3</v>
      </c>
      <c r="B4" s="3" t="s">
        <v>16</v>
      </c>
      <c r="C4" s="3" t="s">
        <v>0</v>
      </c>
      <c r="D4" s="4">
        <v>32874</v>
      </c>
      <c r="E4" s="3">
        <v>169</v>
      </c>
      <c r="F4" s="3">
        <v>80</v>
      </c>
      <c r="G4" s="3" t="s">
        <v>47</v>
      </c>
      <c r="H4" s="3" t="s">
        <v>2</v>
      </c>
      <c r="I4" s="3">
        <v>15</v>
      </c>
      <c r="J4" s="3" t="s">
        <v>43</v>
      </c>
      <c r="K4" s="3" t="s">
        <v>44</v>
      </c>
      <c r="L4" s="3" t="s">
        <v>53</v>
      </c>
      <c r="M4" s="3" t="s">
        <v>54</v>
      </c>
      <c r="N4" s="4">
        <v>36527</v>
      </c>
      <c r="O4" s="4">
        <v>36537</v>
      </c>
      <c r="P4" s="3" t="s">
        <v>28</v>
      </c>
      <c r="Q4" s="3" t="s">
        <v>31</v>
      </c>
      <c r="R4" s="3" t="s">
        <v>33</v>
      </c>
      <c r="S4" s="3" t="s">
        <v>36</v>
      </c>
      <c r="T4" s="3" t="s">
        <v>44</v>
      </c>
      <c r="U4" s="3">
        <v>28.010223731662059</v>
      </c>
      <c r="V4" s="3" t="s">
        <v>152</v>
      </c>
      <c r="W4" s="5">
        <v>11042</v>
      </c>
    </row>
    <row r="5" spans="1:23" ht="15.75" x14ac:dyDescent="0.25">
      <c r="A5" s="3">
        <v>4</v>
      </c>
      <c r="B5" s="3" t="s">
        <v>17</v>
      </c>
      <c r="C5" s="3" t="s">
        <v>1</v>
      </c>
      <c r="D5" s="4">
        <v>33270</v>
      </c>
      <c r="E5" s="3">
        <v>187</v>
      </c>
      <c r="F5" s="3">
        <v>76</v>
      </c>
      <c r="G5" s="3" t="s">
        <v>2</v>
      </c>
      <c r="H5" s="3" t="s">
        <v>3</v>
      </c>
      <c r="I5" s="3">
        <v>20</v>
      </c>
      <c r="J5" s="3" t="s">
        <v>43</v>
      </c>
      <c r="K5" s="3" t="s">
        <v>44</v>
      </c>
      <c r="L5" s="3" t="s">
        <v>55</v>
      </c>
      <c r="M5" s="3" t="s">
        <v>56</v>
      </c>
      <c r="N5" s="4" t="s">
        <v>57</v>
      </c>
      <c r="O5" s="4" t="s">
        <v>58</v>
      </c>
      <c r="P5" s="3" t="s">
        <v>29</v>
      </c>
      <c r="Q5" s="3" t="s">
        <v>30</v>
      </c>
      <c r="R5" s="3" t="s">
        <v>34</v>
      </c>
      <c r="S5" s="3" t="s">
        <v>36</v>
      </c>
      <c r="T5" s="3" t="s">
        <v>42</v>
      </c>
      <c r="U5" s="3">
        <v>21.733535417083701</v>
      </c>
      <c r="V5" s="3" t="s">
        <v>158</v>
      </c>
      <c r="W5" s="5">
        <v>10675</v>
      </c>
    </row>
    <row r="6" spans="1:23" ht="15.75" x14ac:dyDescent="0.25">
      <c r="A6" s="3">
        <v>5</v>
      </c>
      <c r="B6" s="3" t="s">
        <v>17</v>
      </c>
      <c r="C6" s="3" t="s">
        <v>0</v>
      </c>
      <c r="D6" s="4" t="s">
        <v>59</v>
      </c>
      <c r="E6" s="3">
        <v>182</v>
      </c>
      <c r="F6" s="3">
        <v>93</v>
      </c>
      <c r="G6" s="3" t="s">
        <v>47</v>
      </c>
      <c r="H6" s="3" t="s">
        <v>3</v>
      </c>
      <c r="I6" s="3">
        <v>0</v>
      </c>
      <c r="J6" s="3" t="s">
        <v>43</v>
      </c>
      <c r="K6" s="3" t="s">
        <v>44</v>
      </c>
      <c r="L6" s="3" t="s">
        <v>60</v>
      </c>
      <c r="M6" s="3" t="s">
        <v>61</v>
      </c>
      <c r="N6" s="4">
        <v>43747</v>
      </c>
      <c r="O6" s="4" t="s">
        <v>62</v>
      </c>
      <c r="P6" s="3" t="s">
        <v>27</v>
      </c>
      <c r="Q6" s="3" t="s">
        <v>31</v>
      </c>
      <c r="R6" s="3" t="s">
        <v>35</v>
      </c>
      <c r="S6" s="3" t="s">
        <v>40</v>
      </c>
      <c r="T6" s="3" t="s">
        <v>45</v>
      </c>
      <c r="U6" s="3">
        <v>28.076319285110493</v>
      </c>
      <c r="V6" s="3" t="s">
        <v>152</v>
      </c>
      <c r="W6" s="5">
        <v>10599</v>
      </c>
    </row>
    <row r="7" spans="1:23" ht="15.75" x14ac:dyDescent="0.25">
      <c r="A7" s="3">
        <v>6</v>
      </c>
      <c r="B7" s="3" t="s">
        <v>16</v>
      </c>
      <c r="C7" s="3" t="s">
        <v>1</v>
      </c>
      <c r="D7" s="4">
        <v>32518</v>
      </c>
      <c r="E7" s="3">
        <v>171</v>
      </c>
      <c r="F7" s="3">
        <v>90</v>
      </c>
      <c r="G7" s="3" t="s">
        <v>2</v>
      </c>
      <c r="H7" s="3" t="s">
        <v>3</v>
      </c>
      <c r="I7" s="3">
        <v>20</v>
      </c>
      <c r="J7" s="3" t="s">
        <v>43</v>
      </c>
      <c r="K7" s="3" t="s">
        <v>44</v>
      </c>
      <c r="L7" s="3" t="s">
        <v>63</v>
      </c>
      <c r="M7" s="3" t="s">
        <v>64</v>
      </c>
      <c r="N7" s="4" t="s">
        <v>65</v>
      </c>
      <c r="O7" s="4">
        <v>43831</v>
      </c>
      <c r="P7" s="3" t="s">
        <v>29</v>
      </c>
      <c r="Q7" s="3" t="s">
        <v>31</v>
      </c>
      <c r="R7" s="3" t="s">
        <v>32</v>
      </c>
      <c r="S7" s="3" t="s">
        <v>38</v>
      </c>
      <c r="T7" s="3" t="s">
        <v>44</v>
      </c>
      <c r="U7" s="3">
        <v>30.778701138811947</v>
      </c>
      <c r="V7" s="3" t="s">
        <v>161</v>
      </c>
      <c r="W7" s="5">
        <v>11133</v>
      </c>
    </row>
    <row r="8" spans="1:23" ht="15.75" x14ac:dyDescent="0.25">
      <c r="A8" s="3">
        <v>7</v>
      </c>
      <c r="B8" s="3" t="s">
        <v>17</v>
      </c>
      <c r="C8" s="3" t="s">
        <v>0</v>
      </c>
      <c r="D8" s="4" t="s">
        <v>66</v>
      </c>
      <c r="E8" s="3">
        <v>175</v>
      </c>
      <c r="F8" s="3">
        <v>55</v>
      </c>
      <c r="G8" s="3" t="s">
        <v>47</v>
      </c>
      <c r="H8" s="3" t="s">
        <v>3</v>
      </c>
      <c r="I8" s="3">
        <v>23</v>
      </c>
      <c r="J8" s="3" t="s">
        <v>43</v>
      </c>
      <c r="K8" s="3" t="s">
        <v>44</v>
      </c>
      <c r="L8" s="3" t="s">
        <v>277</v>
      </c>
      <c r="M8" s="3" t="s">
        <v>67</v>
      </c>
      <c r="N8" s="4">
        <v>43679</v>
      </c>
      <c r="O8" s="4" t="s">
        <v>68</v>
      </c>
      <c r="P8" s="3" t="s">
        <v>28</v>
      </c>
      <c r="Q8" s="3" t="s">
        <v>31</v>
      </c>
      <c r="R8" s="3" t="s">
        <v>33</v>
      </c>
      <c r="S8" s="3" t="s">
        <v>40</v>
      </c>
      <c r="T8" s="3" t="s">
        <v>45</v>
      </c>
      <c r="U8" s="3">
        <v>17.959183673469386</v>
      </c>
      <c r="V8" s="3" t="s">
        <v>159</v>
      </c>
      <c r="W8" s="5">
        <v>7463</v>
      </c>
    </row>
    <row r="9" spans="1:23" ht="15.75" x14ac:dyDescent="0.25">
      <c r="A9" s="3">
        <v>8</v>
      </c>
      <c r="B9" s="3" t="s">
        <v>16</v>
      </c>
      <c r="C9" s="3" t="s">
        <v>1</v>
      </c>
      <c r="D9" s="4" t="s">
        <v>274</v>
      </c>
      <c r="E9" s="3">
        <v>181</v>
      </c>
      <c r="F9" s="3">
        <v>91</v>
      </c>
      <c r="G9" s="3" t="s">
        <v>2</v>
      </c>
      <c r="H9" s="3" t="s">
        <v>3</v>
      </c>
      <c r="I9" s="3">
        <v>0</v>
      </c>
      <c r="J9" s="3" t="s">
        <v>43</v>
      </c>
      <c r="K9" s="3" t="s">
        <v>44</v>
      </c>
      <c r="L9" s="3" t="s">
        <v>69</v>
      </c>
      <c r="M9" s="3" t="s">
        <v>70</v>
      </c>
      <c r="N9" s="4" t="s">
        <v>71</v>
      </c>
      <c r="O9" s="4">
        <v>43561</v>
      </c>
      <c r="P9" s="3" t="s">
        <v>29</v>
      </c>
      <c r="Q9" s="3" t="s">
        <v>30</v>
      </c>
      <c r="R9" s="3" t="s">
        <v>32</v>
      </c>
      <c r="S9" s="3" t="s">
        <v>40</v>
      </c>
      <c r="T9" s="3" t="s">
        <v>44</v>
      </c>
      <c r="U9" s="3">
        <v>27.776929886145112</v>
      </c>
      <c r="V9" s="3" t="s">
        <v>152</v>
      </c>
      <c r="W9" s="5">
        <v>14946</v>
      </c>
    </row>
    <row r="10" spans="1:23" ht="15.75" x14ac:dyDescent="0.25">
      <c r="A10" s="3">
        <v>9</v>
      </c>
      <c r="B10" s="3" t="s">
        <v>16</v>
      </c>
      <c r="C10" s="3" t="s">
        <v>0</v>
      </c>
      <c r="D10" s="4">
        <v>25577</v>
      </c>
      <c r="E10" s="3">
        <v>169</v>
      </c>
      <c r="F10" s="3">
        <v>60</v>
      </c>
      <c r="G10" s="3" t="s">
        <v>47</v>
      </c>
      <c r="H10" s="3" t="s">
        <v>2</v>
      </c>
      <c r="I10" s="3">
        <v>32</v>
      </c>
      <c r="J10" s="3" t="s">
        <v>43</v>
      </c>
      <c r="K10" s="3" t="s">
        <v>44</v>
      </c>
      <c r="L10" s="3" t="s">
        <v>72</v>
      </c>
      <c r="M10" s="3" t="s">
        <v>73</v>
      </c>
      <c r="N10" s="4" t="s">
        <v>74</v>
      </c>
      <c r="O10" s="4">
        <v>43556</v>
      </c>
      <c r="P10" s="3" t="s">
        <v>29</v>
      </c>
      <c r="Q10" s="3" t="s">
        <v>30</v>
      </c>
      <c r="R10" s="3" t="s">
        <v>32</v>
      </c>
      <c r="S10" s="3" t="s">
        <v>38</v>
      </c>
      <c r="T10" s="3" t="s">
        <v>45</v>
      </c>
      <c r="U10" s="3">
        <v>21.007667798746546</v>
      </c>
      <c r="V10" s="3" t="s">
        <v>158</v>
      </c>
      <c r="W10" s="5">
        <v>18104</v>
      </c>
    </row>
    <row r="11" spans="1:23" ht="15.75" x14ac:dyDescent="0.25">
      <c r="A11" s="3">
        <v>10</v>
      </c>
      <c r="B11" s="3" t="s">
        <v>16</v>
      </c>
      <c r="C11" s="3" t="s">
        <v>0</v>
      </c>
      <c r="D11" s="4">
        <v>32882</v>
      </c>
      <c r="E11" s="3">
        <v>190</v>
      </c>
      <c r="F11" s="3">
        <v>110</v>
      </c>
      <c r="G11" s="3" t="s">
        <v>47</v>
      </c>
      <c r="H11" s="3" t="s">
        <v>2</v>
      </c>
      <c r="I11" s="3">
        <v>35</v>
      </c>
      <c r="J11" s="3" t="s">
        <v>43</v>
      </c>
      <c r="K11" s="3" t="s">
        <v>44</v>
      </c>
      <c r="L11" s="3" t="s">
        <v>46</v>
      </c>
      <c r="M11" s="3" t="s">
        <v>75</v>
      </c>
      <c r="N11" s="4" t="s">
        <v>74</v>
      </c>
      <c r="O11" s="4" t="s">
        <v>57</v>
      </c>
      <c r="P11" s="3" t="s">
        <v>27</v>
      </c>
      <c r="Q11" s="3" t="s">
        <v>31</v>
      </c>
      <c r="R11" s="3" t="s">
        <v>32</v>
      </c>
      <c r="S11" s="3" t="s">
        <v>36</v>
      </c>
      <c r="T11" s="3" t="s">
        <v>42</v>
      </c>
      <c r="U11" s="3">
        <v>30.470914127423821</v>
      </c>
      <c r="V11" s="3" t="s">
        <v>161</v>
      </c>
      <c r="W11" s="5">
        <v>10799</v>
      </c>
    </row>
    <row r="12" spans="1:23" ht="15.75" x14ac:dyDescent="0.25">
      <c r="A12" s="3">
        <v>11</v>
      </c>
      <c r="B12" s="3" t="s">
        <v>16</v>
      </c>
      <c r="C12" s="3" t="s">
        <v>1</v>
      </c>
      <c r="D12" s="4" t="s">
        <v>76</v>
      </c>
      <c r="E12" s="3">
        <v>170</v>
      </c>
      <c r="F12" s="3">
        <v>45</v>
      </c>
      <c r="G12" s="3" t="s">
        <v>3</v>
      </c>
      <c r="H12" s="3" t="s">
        <v>3</v>
      </c>
      <c r="I12" s="3">
        <v>14</v>
      </c>
      <c r="J12" s="3" t="s">
        <v>43</v>
      </c>
      <c r="K12" s="3" t="s">
        <v>44</v>
      </c>
      <c r="L12" s="3" t="s">
        <v>126</v>
      </c>
      <c r="M12" s="3" t="s">
        <v>77</v>
      </c>
      <c r="N12" s="4">
        <v>43811</v>
      </c>
      <c r="O12" s="4" t="s">
        <v>78</v>
      </c>
      <c r="P12" s="3" t="s">
        <v>28</v>
      </c>
      <c r="Q12" s="3" t="s">
        <v>31</v>
      </c>
      <c r="R12" s="3" t="s">
        <v>35</v>
      </c>
      <c r="S12" s="3" t="s">
        <v>36</v>
      </c>
      <c r="T12" s="3" t="s">
        <v>45</v>
      </c>
      <c r="U12" s="3">
        <v>15.570934256055365</v>
      </c>
      <c r="V12" s="3" t="s">
        <v>262</v>
      </c>
      <c r="W12" s="5">
        <v>6358</v>
      </c>
    </row>
    <row r="13" spans="1:23" ht="15.75" x14ac:dyDescent="0.25">
      <c r="A13" s="3">
        <v>12</v>
      </c>
      <c r="B13" s="3" t="s">
        <v>16</v>
      </c>
      <c r="C13" s="3" t="s">
        <v>1</v>
      </c>
      <c r="D13" s="4" t="s">
        <v>79</v>
      </c>
      <c r="E13" s="3">
        <v>170</v>
      </c>
      <c r="F13" s="3">
        <v>80</v>
      </c>
      <c r="G13" s="3" t="s">
        <v>3</v>
      </c>
      <c r="H13" s="3" t="s">
        <v>2</v>
      </c>
      <c r="I13" s="3">
        <v>1</v>
      </c>
      <c r="J13" s="3" t="s">
        <v>44</v>
      </c>
      <c r="K13" s="3" t="s">
        <v>44</v>
      </c>
      <c r="L13" s="3" t="s">
        <v>80</v>
      </c>
      <c r="M13" s="3" t="s">
        <v>77</v>
      </c>
      <c r="N13" s="4">
        <v>43477</v>
      </c>
      <c r="O13" s="4" t="s">
        <v>81</v>
      </c>
      <c r="P13" s="3" t="s">
        <v>28</v>
      </c>
      <c r="Q13" s="3" t="s">
        <v>31</v>
      </c>
      <c r="R13" s="3" t="s">
        <v>35</v>
      </c>
      <c r="S13" s="3" t="s">
        <v>36</v>
      </c>
      <c r="T13" s="3" t="s">
        <v>44</v>
      </c>
      <c r="U13" s="3">
        <v>27.681660899653981</v>
      </c>
      <c r="V13" s="3" t="s">
        <v>152</v>
      </c>
      <c r="W13" s="5">
        <v>7088</v>
      </c>
    </row>
    <row r="14" spans="1:23" ht="15.75" x14ac:dyDescent="0.25">
      <c r="A14" s="3">
        <v>13</v>
      </c>
      <c r="B14" s="3" t="s">
        <v>17</v>
      </c>
      <c r="C14" s="3" t="s">
        <v>0</v>
      </c>
      <c r="D14" s="4">
        <v>37165</v>
      </c>
      <c r="E14" s="3">
        <v>159</v>
      </c>
      <c r="F14" s="3">
        <v>80</v>
      </c>
      <c r="G14" s="3" t="s">
        <v>47</v>
      </c>
      <c r="H14" s="3" t="s">
        <v>2</v>
      </c>
      <c r="I14" s="3">
        <v>19</v>
      </c>
      <c r="J14" s="3" t="s">
        <v>43</v>
      </c>
      <c r="K14" s="3" t="s">
        <v>44</v>
      </c>
      <c r="L14" s="3" t="s">
        <v>82</v>
      </c>
      <c r="M14" s="3" t="s">
        <v>83</v>
      </c>
      <c r="N14" s="4">
        <v>43559</v>
      </c>
      <c r="O14" s="4" t="s">
        <v>84</v>
      </c>
      <c r="P14" s="3" t="s">
        <v>28</v>
      </c>
      <c r="Q14" s="3" t="s">
        <v>30</v>
      </c>
      <c r="R14" s="3" t="s">
        <v>34</v>
      </c>
      <c r="S14" s="3" t="s">
        <v>40</v>
      </c>
      <c r="T14" s="3" t="s">
        <v>44</v>
      </c>
      <c r="U14" s="3">
        <v>31.644317867172973</v>
      </c>
      <c r="V14" s="3" t="s">
        <v>161</v>
      </c>
      <c r="W14" s="5">
        <v>7015</v>
      </c>
    </row>
    <row r="15" spans="1:23" ht="15.75" x14ac:dyDescent="0.25">
      <c r="A15" s="3">
        <v>14</v>
      </c>
      <c r="B15" s="3" t="s">
        <v>17</v>
      </c>
      <c r="C15" s="3" t="s">
        <v>0</v>
      </c>
      <c r="D15" s="4">
        <v>35704</v>
      </c>
      <c r="E15" s="3">
        <v>182</v>
      </c>
      <c r="F15" s="3">
        <v>80</v>
      </c>
      <c r="G15" s="3" t="s">
        <v>47</v>
      </c>
      <c r="H15" s="3" t="s">
        <v>2</v>
      </c>
      <c r="I15" s="3">
        <v>0</v>
      </c>
      <c r="J15" s="3" t="s">
        <v>43</v>
      </c>
      <c r="K15" s="3" t="s">
        <v>44</v>
      </c>
      <c r="L15" s="3" t="s">
        <v>249</v>
      </c>
      <c r="M15" s="3" t="s">
        <v>85</v>
      </c>
      <c r="N15" s="4">
        <v>43559</v>
      </c>
      <c r="O15" s="4" t="s">
        <v>84</v>
      </c>
      <c r="P15" s="3" t="s">
        <v>29</v>
      </c>
      <c r="Q15" s="3" t="s">
        <v>30</v>
      </c>
      <c r="R15" s="3" t="s">
        <v>34</v>
      </c>
      <c r="S15" s="3" t="s">
        <v>40</v>
      </c>
      <c r="T15" s="3" t="s">
        <v>44</v>
      </c>
      <c r="U15" s="3">
        <v>24.151672503320853</v>
      </c>
      <c r="V15" s="3" t="s">
        <v>158</v>
      </c>
      <c r="W15" s="5">
        <v>8476</v>
      </c>
    </row>
    <row r="16" spans="1:23" ht="15.75" x14ac:dyDescent="0.25">
      <c r="A16" s="3">
        <v>15</v>
      </c>
      <c r="B16" s="3" t="s">
        <v>17</v>
      </c>
      <c r="C16" s="3" t="s">
        <v>0</v>
      </c>
      <c r="D16" s="4">
        <v>32051</v>
      </c>
      <c r="E16" s="3">
        <v>172</v>
      </c>
      <c r="F16" s="3">
        <v>110</v>
      </c>
      <c r="G16" s="3" t="s">
        <v>47</v>
      </c>
      <c r="H16" s="3" t="s">
        <v>3</v>
      </c>
      <c r="I16" s="3">
        <v>0</v>
      </c>
      <c r="J16" s="3" t="s">
        <v>43</v>
      </c>
      <c r="K16" s="3" t="s">
        <v>44</v>
      </c>
      <c r="L16" s="3" t="s">
        <v>86</v>
      </c>
      <c r="M16" s="3" t="s">
        <v>87</v>
      </c>
      <c r="N16" s="4">
        <v>43650</v>
      </c>
      <c r="O16" s="4">
        <v>43656</v>
      </c>
      <c r="P16" s="3" t="s">
        <v>29</v>
      </c>
      <c r="Q16" s="3" t="s">
        <v>30</v>
      </c>
      <c r="R16" s="3" t="s">
        <v>34</v>
      </c>
      <c r="S16" s="3" t="s">
        <v>36</v>
      </c>
      <c r="T16" s="3" t="s">
        <v>44</v>
      </c>
      <c r="U16" s="3">
        <v>37.182260681449435</v>
      </c>
      <c r="V16" s="3" t="s">
        <v>162</v>
      </c>
      <c r="W16" s="5">
        <v>12129</v>
      </c>
    </row>
    <row r="17" spans="1:23" ht="15.75" x14ac:dyDescent="0.25">
      <c r="A17" s="3">
        <v>16</v>
      </c>
      <c r="B17" s="3" t="s">
        <v>16</v>
      </c>
      <c r="C17" s="3" t="s">
        <v>1</v>
      </c>
      <c r="D17" s="4">
        <v>21094</v>
      </c>
      <c r="E17" s="3">
        <v>172</v>
      </c>
      <c r="F17" s="3">
        <v>58</v>
      </c>
      <c r="G17" s="3" t="s">
        <v>3</v>
      </c>
      <c r="H17" s="3" t="s">
        <v>3</v>
      </c>
      <c r="I17" s="3">
        <v>0</v>
      </c>
      <c r="J17" s="3" t="s">
        <v>43</v>
      </c>
      <c r="K17" s="3" t="s">
        <v>44</v>
      </c>
      <c r="L17" s="3" t="s">
        <v>268</v>
      </c>
      <c r="M17" s="3" t="s">
        <v>88</v>
      </c>
      <c r="N17" s="4">
        <v>43469</v>
      </c>
      <c r="O17" s="4">
        <v>43475</v>
      </c>
      <c r="P17" s="3" t="s">
        <v>29</v>
      </c>
      <c r="Q17" s="3" t="s">
        <v>30</v>
      </c>
      <c r="R17" s="3" t="s">
        <v>32</v>
      </c>
      <c r="S17" s="3" t="s">
        <v>38</v>
      </c>
      <c r="T17" s="3" t="s">
        <v>44</v>
      </c>
      <c r="U17" s="3">
        <v>19.605191995673341</v>
      </c>
      <c r="V17" s="3" t="s">
        <v>158</v>
      </c>
      <c r="W17" s="5">
        <v>23085</v>
      </c>
    </row>
    <row r="18" spans="1:23" ht="15.75" x14ac:dyDescent="0.25">
      <c r="A18" s="3">
        <v>17</v>
      </c>
      <c r="B18" s="3" t="s">
        <v>16</v>
      </c>
      <c r="C18" s="3" t="s">
        <v>1</v>
      </c>
      <c r="D18" s="4">
        <v>29495</v>
      </c>
      <c r="E18" s="3">
        <v>172</v>
      </c>
      <c r="F18" s="3">
        <v>78</v>
      </c>
      <c r="G18" s="3" t="s">
        <v>2</v>
      </c>
      <c r="H18" s="3" t="s">
        <v>3</v>
      </c>
      <c r="I18" s="3">
        <v>0</v>
      </c>
      <c r="J18" s="3" t="s">
        <v>43</v>
      </c>
      <c r="K18" s="3" t="s">
        <v>44</v>
      </c>
      <c r="L18" s="3" t="s">
        <v>89</v>
      </c>
      <c r="M18" s="3" t="s">
        <v>90</v>
      </c>
      <c r="N18" s="4">
        <v>43469</v>
      </c>
      <c r="O18" s="4">
        <v>43475</v>
      </c>
      <c r="P18" s="3" t="s">
        <v>27</v>
      </c>
      <c r="Q18" s="3" t="s">
        <v>30</v>
      </c>
      <c r="R18" s="3" t="s">
        <v>34</v>
      </c>
      <c r="S18" s="3" t="s">
        <v>36</v>
      </c>
      <c r="T18" s="3" t="s">
        <v>44</v>
      </c>
      <c r="U18" s="3">
        <v>26.365603028664147</v>
      </c>
      <c r="V18" s="3" t="s">
        <v>152</v>
      </c>
      <c r="W18" s="5">
        <v>14685</v>
      </c>
    </row>
    <row r="19" spans="1:23" ht="15.75" x14ac:dyDescent="0.25">
      <c r="A19" s="3">
        <v>18</v>
      </c>
      <c r="B19" s="3" t="s">
        <v>16</v>
      </c>
      <c r="C19" s="3" t="s">
        <v>1</v>
      </c>
      <c r="D19" s="4">
        <v>32782</v>
      </c>
      <c r="E19" s="3">
        <v>155</v>
      </c>
      <c r="F19" s="3">
        <v>78</v>
      </c>
      <c r="G19" s="3" t="s">
        <v>3</v>
      </c>
      <c r="H19" s="3" t="s">
        <v>2</v>
      </c>
      <c r="I19" s="3">
        <v>0</v>
      </c>
      <c r="J19" s="3" t="s">
        <v>43</v>
      </c>
      <c r="K19" s="3" t="s">
        <v>44</v>
      </c>
      <c r="L19" s="3" t="s">
        <v>91</v>
      </c>
      <c r="M19" s="3" t="s">
        <v>92</v>
      </c>
      <c r="N19" s="4">
        <v>43469</v>
      </c>
      <c r="O19" s="4">
        <v>43469</v>
      </c>
      <c r="P19" s="3" t="s">
        <v>29</v>
      </c>
      <c r="Q19" s="3" t="s">
        <v>30</v>
      </c>
      <c r="R19" s="3" t="s">
        <v>34</v>
      </c>
      <c r="S19" s="3" t="s">
        <v>36</v>
      </c>
      <c r="T19" s="3" t="s">
        <v>44</v>
      </c>
      <c r="U19" s="3">
        <v>32.46618106139438</v>
      </c>
      <c r="V19" s="3" t="s">
        <v>161</v>
      </c>
      <c r="W19" s="5">
        <v>11397</v>
      </c>
    </row>
    <row r="20" spans="1:23" ht="15.75" x14ac:dyDescent="0.25">
      <c r="A20" s="3">
        <v>19</v>
      </c>
      <c r="B20" s="3" t="s">
        <v>16</v>
      </c>
      <c r="C20" s="3" t="s">
        <v>1</v>
      </c>
      <c r="D20" s="4">
        <v>38362</v>
      </c>
      <c r="E20" s="3">
        <v>162</v>
      </c>
      <c r="F20" s="3">
        <v>78</v>
      </c>
      <c r="G20" s="3" t="s">
        <v>3</v>
      </c>
      <c r="H20" s="3" t="s">
        <v>3</v>
      </c>
      <c r="I20" s="3">
        <v>20</v>
      </c>
      <c r="J20" s="3" t="s">
        <v>43</v>
      </c>
      <c r="K20" s="3" t="s">
        <v>44</v>
      </c>
      <c r="L20" s="3" t="s">
        <v>93</v>
      </c>
      <c r="M20" s="3" t="s">
        <v>94</v>
      </c>
      <c r="N20" s="4" t="s">
        <v>95</v>
      </c>
      <c r="O20" s="4" t="s">
        <v>96</v>
      </c>
      <c r="P20" s="3" t="s">
        <v>28</v>
      </c>
      <c r="Q20" s="3" t="s">
        <v>31</v>
      </c>
      <c r="R20" s="3" t="s">
        <v>33</v>
      </c>
      <c r="S20" s="3" t="s">
        <v>36</v>
      </c>
      <c r="T20" s="3" t="s">
        <v>45</v>
      </c>
      <c r="U20" s="3">
        <v>29.721079103795148</v>
      </c>
      <c r="V20" s="3" t="s">
        <v>152</v>
      </c>
      <c r="W20" s="5">
        <v>5289</v>
      </c>
    </row>
    <row r="21" spans="1:23" ht="15.75" x14ac:dyDescent="0.25">
      <c r="A21" s="3">
        <v>20</v>
      </c>
      <c r="B21" s="3" t="s">
        <v>16</v>
      </c>
      <c r="C21" s="3" t="s">
        <v>1</v>
      </c>
      <c r="D21" s="4">
        <v>42014</v>
      </c>
      <c r="E21" s="3">
        <v>130</v>
      </c>
      <c r="F21" s="3">
        <v>25</v>
      </c>
      <c r="G21" s="3" t="s">
        <v>3</v>
      </c>
      <c r="H21" s="3" t="s">
        <v>3</v>
      </c>
      <c r="I21" s="3">
        <v>0</v>
      </c>
      <c r="J21" s="3" t="s">
        <v>43</v>
      </c>
      <c r="K21" s="3" t="s">
        <v>44</v>
      </c>
      <c r="L21" s="3" t="s">
        <v>97</v>
      </c>
      <c r="M21" s="3" t="s">
        <v>98</v>
      </c>
      <c r="N21" s="4" t="s">
        <v>95</v>
      </c>
      <c r="O21" s="4" t="s">
        <v>96</v>
      </c>
      <c r="P21" s="3" t="s">
        <v>27</v>
      </c>
      <c r="Q21" s="3" t="s">
        <v>31</v>
      </c>
      <c r="R21" s="3" t="s">
        <v>33</v>
      </c>
      <c r="S21" s="3" t="s">
        <v>36</v>
      </c>
      <c r="T21" s="3" t="s">
        <v>44</v>
      </c>
      <c r="U21" s="3">
        <v>14.792899408284022</v>
      </c>
      <c r="V21" s="3" t="s">
        <v>262</v>
      </c>
      <c r="W21" s="5">
        <v>1637</v>
      </c>
    </row>
    <row r="22" spans="1:23" ht="15.75" x14ac:dyDescent="0.25">
      <c r="A22" s="3">
        <v>21</v>
      </c>
      <c r="B22" s="3" t="s">
        <v>17</v>
      </c>
      <c r="C22" s="3" t="s">
        <v>1</v>
      </c>
      <c r="D22" s="4" t="s">
        <v>99</v>
      </c>
      <c r="E22" s="3">
        <v>170</v>
      </c>
      <c r="F22" s="3">
        <v>95</v>
      </c>
      <c r="G22" s="3" t="s">
        <v>3</v>
      </c>
      <c r="H22" s="3" t="s">
        <v>3</v>
      </c>
      <c r="I22" s="3">
        <v>0</v>
      </c>
      <c r="J22" s="3" t="s">
        <v>43</v>
      </c>
      <c r="K22" s="3" t="s">
        <v>44</v>
      </c>
      <c r="L22" s="3" t="s">
        <v>100</v>
      </c>
      <c r="M22" s="3" t="s">
        <v>98</v>
      </c>
      <c r="N22" s="4" t="s">
        <v>65</v>
      </c>
      <c r="O22" s="4" t="s">
        <v>101</v>
      </c>
      <c r="P22" s="3" t="s">
        <v>28</v>
      </c>
      <c r="Q22" s="3" t="s">
        <v>31</v>
      </c>
      <c r="R22" s="3" t="s">
        <v>33</v>
      </c>
      <c r="S22" s="3" t="s">
        <v>36</v>
      </c>
      <c r="T22" s="3" t="s">
        <v>45</v>
      </c>
      <c r="U22" s="3">
        <v>32.871972318339104</v>
      </c>
      <c r="V22" s="3" t="s">
        <v>161</v>
      </c>
      <c r="W22" s="5">
        <v>21155</v>
      </c>
    </row>
    <row r="23" spans="1:23" ht="15.75" x14ac:dyDescent="0.25">
      <c r="A23" s="3">
        <v>22</v>
      </c>
      <c r="B23" s="3" t="s">
        <v>17</v>
      </c>
      <c r="C23" s="3" t="s">
        <v>1</v>
      </c>
      <c r="D23" s="4" t="s">
        <v>102</v>
      </c>
      <c r="E23" s="3">
        <v>170</v>
      </c>
      <c r="F23" s="3">
        <v>55</v>
      </c>
      <c r="G23" s="3" t="s">
        <v>3</v>
      </c>
      <c r="H23" s="3" t="s">
        <v>2</v>
      </c>
      <c r="I23" s="3">
        <v>64</v>
      </c>
      <c r="J23" s="3" t="s">
        <v>43</v>
      </c>
      <c r="K23" s="3" t="s">
        <v>44</v>
      </c>
      <c r="L23" s="3" t="s">
        <v>103</v>
      </c>
      <c r="M23" s="3" t="s">
        <v>104</v>
      </c>
      <c r="N23" s="4" t="s">
        <v>105</v>
      </c>
      <c r="O23" s="4" t="s">
        <v>106</v>
      </c>
      <c r="P23" s="3" t="s">
        <v>28</v>
      </c>
      <c r="Q23" s="3" t="s">
        <v>31</v>
      </c>
      <c r="R23" s="3" t="s">
        <v>34</v>
      </c>
      <c r="S23" s="3" t="s">
        <v>36</v>
      </c>
      <c r="T23" s="3" t="s">
        <v>44</v>
      </c>
      <c r="U23" s="3">
        <v>19.031141868512112</v>
      </c>
      <c r="V23" s="3" t="s">
        <v>158</v>
      </c>
      <c r="W23" s="5">
        <v>8371</v>
      </c>
    </row>
    <row r="24" spans="1:23" ht="15.75" x14ac:dyDescent="0.25">
      <c r="A24" s="3">
        <v>23</v>
      </c>
      <c r="B24" s="3" t="s">
        <v>17</v>
      </c>
      <c r="C24" s="3" t="s">
        <v>1</v>
      </c>
      <c r="D24" s="4" t="s">
        <v>107</v>
      </c>
      <c r="E24" s="3">
        <v>167</v>
      </c>
      <c r="F24" s="3">
        <v>115</v>
      </c>
      <c r="G24" s="3" t="s">
        <v>3</v>
      </c>
      <c r="H24" s="3" t="s">
        <v>2</v>
      </c>
      <c r="I24" s="3">
        <v>6</v>
      </c>
      <c r="J24" s="3" t="s">
        <v>43</v>
      </c>
      <c r="K24" s="3" t="s">
        <v>44</v>
      </c>
      <c r="L24" s="3" t="s">
        <v>108</v>
      </c>
      <c r="M24" s="3" t="s">
        <v>109</v>
      </c>
      <c r="N24" s="4" t="s">
        <v>105</v>
      </c>
      <c r="O24" s="4">
        <v>43526</v>
      </c>
      <c r="P24" s="3" t="s">
        <v>28</v>
      </c>
      <c r="Q24" s="3" t="s">
        <v>30</v>
      </c>
      <c r="R24" s="3" t="s">
        <v>32</v>
      </c>
      <c r="S24" s="3" t="s">
        <v>36</v>
      </c>
      <c r="T24" s="3" t="s">
        <v>42</v>
      </c>
      <c r="U24" s="3">
        <v>41.234895478504072</v>
      </c>
      <c r="V24" s="3" t="s">
        <v>163</v>
      </c>
      <c r="W24" s="5">
        <v>8368</v>
      </c>
    </row>
    <row r="25" spans="1:23" ht="15.75" x14ac:dyDescent="0.25">
      <c r="A25" s="3">
        <v>24</v>
      </c>
      <c r="B25" s="3" t="s">
        <v>17</v>
      </c>
      <c r="C25" s="3" t="s">
        <v>1</v>
      </c>
      <c r="D25" s="4" t="s">
        <v>110</v>
      </c>
      <c r="E25" s="3">
        <v>186</v>
      </c>
      <c r="F25" s="3">
        <v>115</v>
      </c>
      <c r="G25" s="3" t="s">
        <v>3</v>
      </c>
      <c r="H25" s="3" t="s">
        <v>2</v>
      </c>
      <c r="I25" s="3">
        <v>6</v>
      </c>
      <c r="J25" s="3" t="s">
        <v>43</v>
      </c>
      <c r="K25" s="3" t="s">
        <v>44</v>
      </c>
      <c r="L25" s="3" t="s">
        <v>111</v>
      </c>
      <c r="M25" s="3" t="s">
        <v>112</v>
      </c>
      <c r="N25" s="4" t="s">
        <v>113</v>
      </c>
      <c r="O25" s="4" t="s">
        <v>62</v>
      </c>
      <c r="P25" s="3" t="s">
        <v>28</v>
      </c>
      <c r="Q25" s="3" t="s">
        <v>30</v>
      </c>
      <c r="R25" s="3" t="s">
        <v>34</v>
      </c>
      <c r="S25" s="3" t="s">
        <v>36</v>
      </c>
      <c r="T25" s="3" t="s">
        <v>42</v>
      </c>
      <c r="U25" s="3">
        <v>33.240837090993175</v>
      </c>
      <c r="V25" s="3" t="s">
        <v>161</v>
      </c>
      <c r="W25" s="5">
        <v>20056</v>
      </c>
    </row>
    <row r="26" spans="1:23" ht="15.75" x14ac:dyDescent="0.25">
      <c r="A26" s="3">
        <v>25</v>
      </c>
      <c r="B26" s="3" t="s">
        <v>17</v>
      </c>
      <c r="C26" s="3" t="s">
        <v>1</v>
      </c>
      <c r="D26" s="4">
        <v>23833</v>
      </c>
      <c r="E26" s="3">
        <v>186</v>
      </c>
      <c r="F26" s="3">
        <v>65</v>
      </c>
      <c r="G26" s="3" t="s">
        <v>3</v>
      </c>
      <c r="H26" s="3" t="s">
        <v>2</v>
      </c>
      <c r="I26" s="3">
        <v>16</v>
      </c>
      <c r="J26" s="3" t="s">
        <v>44</v>
      </c>
      <c r="K26" s="3" t="s">
        <v>44</v>
      </c>
      <c r="L26" s="3" t="s">
        <v>111</v>
      </c>
      <c r="M26" s="3" t="s">
        <v>112</v>
      </c>
      <c r="N26" s="4" t="s">
        <v>114</v>
      </c>
      <c r="O26" s="4" t="s">
        <v>115</v>
      </c>
      <c r="P26" s="3" t="s">
        <v>27</v>
      </c>
      <c r="Q26" s="3" t="s">
        <v>31</v>
      </c>
      <c r="R26" s="3" t="s">
        <v>34</v>
      </c>
      <c r="S26" s="3" t="s">
        <v>36</v>
      </c>
      <c r="T26" s="3" t="s">
        <v>42</v>
      </c>
      <c r="U26" s="3">
        <v>18.78829922534397</v>
      </c>
      <c r="V26" s="3" t="s">
        <v>158</v>
      </c>
      <c r="W26" s="5">
        <v>20169</v>
      </c>
    </row>
    <row r="27" spans="1:23" ht="15.75" x14ac:dyDescent="0.25">
      <c r="A27" s="3">
        <v>26</v>
      </c>
      <c r="B27" s="3" t="s">
        <v>16</v>
      </c>
      <c r="C27" s="3" t="s">
        <v>0</v>
      </c>
      <c r="D27" s="4">
        <v>19815</v>
      </c>
      <c r="E27" s="3">
        <v>186</v>
      </c>
      <c r="F27" s="3">
        <v>62</v>
      </c>
      <c r="G27" s="3" t="s">
        <v>47</v>
      </c>
      <c r="H27" s="3" t="s">
        <v>2</v>
      </c>
      <c r="I27" s="3">
        <v>1</v>
      </c>
      <c r="J27" s="3" t="s">
        <v>43</v>
      </c>
      <c r="K27" s="3" t="s">
        <v>44</v>
      </c>
      <c r="L27" s="3" t="s">
        <v>72</v>
      </c>
      <c r="M27" s="3" t="s">
        <v>73</v>
      </c>
      <c r="N27" s="4">
        <v>43506</v>
      </c>
      <c r="O27" s="4">
        <v>43534</v>
      </c>
      <c r="P27" s="3" t="s">
        <v>29</v>
      </c>
      <c r="Q27" s="3" t="s">
        <v>31</v>
      </c>
      <c r="R27" s="3" t="s">
        <v>32</v>
      </c>
      <c r="S27" s="3" t="s">
        <v>38</v>
      </c>
      <c r="T27" s="3" t="s">
        <v>42</v>
      </c>
      <c r="U27" s="3">
        <v>17.921146953405014</v>
      </c>
      <c r="V27" s="3" t="s">
        <v>159</v>
      </c>
      <c r="W27" s="5">
        <v>24188</v>
      </c>
    </row>
    <row r="28" spans="1:23" ht="15.75" x14ac:dyDescent="0.25">
      <c r="A28" s="3">
        <v>27</v>
      </c>
      <c r="B28" s="3" t="s">
        <v>16</v>
      </c>
      <c r="C28" s="3" t="s">
        <v>0</v>
      </c>
      <c r="D28" s="4">
        <v>14702</v>
      </c>
      <c r="E28" s="3">
        <v>166</v>
      </c>
      <c r="F28" s="3">
        <v>69</v>
      </c>
      <c r="G28" s="3" t="s">
        <v>47</v>
      </c>
      <c r="H28" s="3" t="s">
        <v>2</v>
      </c>
      <c r="I28" s="3">
        <v>19</v>
      </c>
      <c r="J28" s="3" t="s">
        <v>43</v>
      </c>
      <c r="K28" s="3" t="s">
        <v>44</v>
      </c>
      <c r="L28" s="3" t="s">
        <v>72</v>
      </c>
      <c r="M28" s="3" t="s">
        <v>73</v>
      </c>
      <c r="N28" s="4">
        <v>43506</v>
      </c>
      <c r="O28" s="4">
        <v>43534</v>
      </c>
      <c r="P28" s="3" t="s">
        <v>29</v>
      </c>
      <c r="Q28" s="3" t="s">
        <v>31</v>
      </c>
      <c r="R28" s="3" t="s">
        <v>32</v>
      </c>
      <c r="S28" s="3" t="s">
        <v>39</v>
      </c>
      <c r="T28" s="3" t="s">
        <v>45</v>
      </c>
      <c r="U28" s="3">
        <v>25.03991871098853</v>
      </c>
      <c r="V28" s="3" t="s">
        <v>152</v>
      </c>
      <c r="W28" s="5">
        <v>29302</v>
      </c>
    </row>
    <row r="29" spans="1:23" ht="15.75" x14ac:dyDescent="0.25">
      <c r="A29" s="3">
        <v>28</v>
      </c>
      <c r="B29" s="3" t="s">
        <v>16</v>
      </c>
      <c r="C29" s="3" t="s">
        <v>0</v>
      </c>
      <c r="D29" s="4">
        <v>14705</v>
      </c>
      <c r="E29" s="3">
        <v>166</v>
      </c>
      <c r="F29" s="3">
        <v>80</v>
      </c>
      <c r="G29" s="3" t="s">
        <v>47</v>
      </c>
      <c r="H29" s="3" t="s">
        <v>2</v>
      </c>
      <c r="I29" s="3">
        <v>9</v>
      </c>
      <c r="J29" s="3" t="s">
        <v>43</v>
      </c>
      <c r="K29" s="3" t="s">
        <v>44</v>
      </c>
      <c r="L29" s="3" t="s">
        <v>116</v>
      </c>
      <c r="M29" s="3" t="s">
        <v>117</v>
      </c>
      <c r="N29" s="4">
        <v>43656</v>
      </c>
      <c r="O29" s="4" t="s">
        <v>118</v>
      </c>
      <c r="P29" s="3" t="s">
        <v>27</v>
      </c>
      <c r="Q29" s="3" t="s">
        <v>31</v>
      </c>
      <c r="R29" s="3" t="s">
        <v>33</v>
      </c>
      <c r="S29" s="3" t="s">
        <v>40</v>
      </c>
      <c r="T29" s="3" t="s">
        <v>45</v>
      </c>
      <c r="U29" s="3">
        <v>29.031789809841772</v>
      </c>
      <c r="V29" s="3" t="s">
        <v>152</v>
      </c>
      <c r="W29" s="5">
        <v>29211</v>
      </c>
    </row>
    <row r="30" spans="1:23" ht="15.75" x14ac:dyDescent="0.25">
      <c r="A30" s="3">
        <v>29</v>
      </c>
      <c r="B30" s="3" t="s">
        <v>16</v>
      </c>
      <c r="C30" s="3" t="s">
        <v>0</v>
      </c>
      <c r="D30" s="4">
        <v>40272</v>
      </c>
      <c r="E30" s="3">
        <v>155</v>
      </c>
      <c r="F30" s="3">
        <v>101</v>
      </c>
      <c r="G30" s="3" t="s">
        <v>47</v>
      </c>
      <c r="H30" s="3" t="s">
        <v>2</v>
      </c>
      <c r="I30" s="3">
        <v>50</v>
      </c>
      <c r="J30" s="3" t="s">
        <v>43</v>
      </c>
      <c r="K30" s="3" t="s">
        <v>44</v>
      </c>
      <c r="L30" s="3" t="s">
        <v>119</v>
      </c>
      <c r="M30" s="3" t="s">
        <v>120</v>
      </c>
      <c r="N30" s="4">
        <v>43745</v>
      </c>
      <c r="O30" s="4">
        <v>43748</v>
      </c>
      <c r="P30" s="3" t="s">
        <v>27</v>
      </c>
      <c r="Q30" s="3" t="s">
        <v>31</v>
      </c>
      <c r="R30" s="3" t="s">
        <v>33</v>
      </c>
      <c r="S30" s="3" t="s">
        <v>36</v>
      </c>
      <c r="T30" s="3" t="s">
        <v>44</v>
      </c>
      <c r="U30" s="3">
        <v>42.039542143600414</v>
      </c>
      <c r="V30" s="3" t="s">
        <v>163</v>
      </c>
      <c r="W30" s="5">
        <v>3644</v>
      </c>
    </row>
    <row r="31" spans="1:23" ht="15.75" x14ac:dyDescent="0.25">
      <c r="A31" s="3">
        <v>30</v>
      </c>
      <c r="B31" s="3" t="s">
        <v>16</v>
      </c>
      <c r="C31" s="3" t="s">
        <v>0</v>
      </c>
      <c r="D31" s="4" t="s">
        <v>76</v>
      </c>
      <c r="E31" s="3">
        <v>170</v>
      </c>
      <c r="F31" s="3">
        <v>46</v>
      </c>
      <c r="G31" s="3" t="s">
        <v>47</v>
      </c>
      <c r="H31" s="3" t="s">
        <v>2</v>
      </c>
      <c r="I31" s="3">
        <v>24</v>
      </c>
      <c r="J31" s="3" t="s">
        <v>43</v>
      </c>
      <c r="K31" s="3" t="s">
        <v>44</v>
      </c>
      <c r="L31" s="3" t="s">
        <v>121</v>
      </c>
      <c r="M31" s="3" t="s">
        <v>122</v>
      </c>
      <c r="N31" s="4" t="s">
        <v>123</v>
      </c>
      <c r="O31" s="4" t="s">
        <v>124</v>
      </c>
      <c r="P31" s="3" t="s">
        <v>28</v>
      </c>
      <c r="Q31" s="3" t="s">
        <v>31</v>
      </c>
      <c r="R31" s="3" t="s">
        <v>34</v>
      </c>
      <c r="S31" s="3" t="s">
        <v>40</v>
      </c>
      <c r="T31" s="3" t="s">
        <v>42</v>
      </c>
      <c r="U31" s="3">
        <v>15.91695501730104</v>
      </c>
      <c r="V31" s="3" t="s">
        <v>262</v>
      </c>
      <c r="W31" s="5">
        <v>6359</v>
      </c>
    </row>
    <row r="32" spans="1:23" ht="15.75" x14ac:dyDescent="0.25">
      <c r="A32" s="3">
        <v>31</v>
      </c>
      <c r="B32" s="3" t="s">
        <v>16</v>
      </c>
      <c r="C32" s="3" t="s">
        <v>0</v>
      </c>
      <c r="D32" s="4" t="s">
        <v>125</v>
      </c>
      <c r="E32" s="3">
        <v>170</v>
      </c>
      <c r="F32" s="3">
        <v>89</v>
      </c>
      <c r="G32" s="3" t="s">
        <v>47</v>
      </c>
      <c r="H32" s="3" t="s">
        <v>2</v>
      </c>
      <c r="I32" s="3">
        <v>4</v>
      </c>
      <c r="J32" s="3" t="s">
        <v>43</v>
      </c>
      <c r="K32" s="3" t="s">
        <v>44</v>
      </c>
      <c r="L32" s="3" t="s">
        <v>126</v>
      </c>
      <c r="M32" s="3" t="s">
        <v>122</v>
      </c>
      <c r="N32" s="4" t="s">
        <v>127</v>
      </c>
      <c r="O32" s="4">
        <v>43680</v>
      </c>
      <c r="P32" s="3" t="s">
        <v>28</v>
      </c>
      <c r="Q32" s="3" t="s">
        <v>31</v>
      </c>
      <c r="R32" s="3" t="s">
        <v>34</v>
      </c>
      <c r="S32" s="3" t="s">
        <v>37</v>
      </c>
      <c r="T32" s="3" t="s">
        <v>42</v>
      </c>
      <c r="U32" s="3">
        <v>30.795847750865054</v>
      </c>
      <c r="V32" s="3" t="s">
        <v>161</v>
      </c>
      <c r="W32" s="5">
        <v>8550</v>
      </c>
    </row>
    <row r="33" spans="1:23" ht="15.75" x14ac:dyDescent="0.25">
      <c r="A33" s="3">
        <v>32</v>
      </c>
      <c r="B33" s="3" t="s">
        <v>17</v>
      </c>
      <c r="C33" s="3" t="s">
        <v>1</v>
      </c>
      <c r="D33" s="4" t="s">
        <v>128</v>
      </c>
      <c r="E33" s="3">
        <v>178</v>
      </c>
      <c r="F33" s="3">
        <v>89</v>
      </c>
      <c r="G33" s="3" t="s">
        <v>2</v>
      </c>
      <c r="H33" s="3" t="s">
        <v>3</v>
      </c>
      <c r="I33" s="3">
        <v>40</v>
      </c>
      <c r="J33" s="3" t="s">
        <v>43</v>
      </c>
      <c r="K33" s="3" t="s">
        <v>44</v>
      </c>
      <c r="L33" s="3" t="s">
        <v>129</v>
      </c>
      <c r="M33" s="3" t="s">
        <v>130</v>
      </c>
      <c r="N33" s="4">
        <v>43739</v>
      </c>
      <c r="O33" s="4">
        <v>43468</v>
      </c>
      <c r="P33" s="3" t="s">
        <v>29</v>
      </c>
      <c r="Q33" s="3" t="s">
        <v>31</v>
      </c>
      <c r="R33" s="3" t="s">
        <v>34</v>
      </c>
      <c r="S33" s="3" t="s">
        <v>40</v>
      </c>
      <c r="T33" s="3" t="s">
        <v>42</v>
      </c>
      <c r="U33" s="3">
        <v>28.089887640449437</v>
      </c>
      <c r="V33" s="3" t="s">
        <v>152</v>
      </c>
      <c r="W33" s="5">
        <v>10010</v>
      </c>
    </row>
    <row r="34" spans="1:23" ht="15.75" x14ac:dyDescent="0.25">
      <c r="A34" s="3">
        <v>33</v>
      </c>
      <c r="B34" s="3" t="s">
        <v>17</v>
      </c>
      <c r="C34" s="3" t="s">
        <v>1</v>
      </c>
      <c r="D34" s="4">
        <v>33795</v>
      </c>
      <c r="E34" s="3">
        <v>178</v>
      </c>
      <c r="F34" s="3">
        <v>54</v>
      </c>
      <c r="G34" s="3" t="s">
        <v>2</v>
      </c>
      <c r="H34" s="3" t="s">
        <v>3</v>
      </c>
      <c r="I34" s="3">
        <v>40</v>
      </c>
      <c r="J34" s="3" t="s">
        <v>44</v>
      </c>
      <c r="K34" s="3" t="s">
        <v>44</v>
      </c>
      <c r="L34" s="3" t="s">
        <v>129</v>
      </c>
      <c r="M34" s="3" t="s">
        <v>130</v>
      </c>
      <c r="N34" s="4">
        <v>43656</v>
      </c>
      <c r="O34" s="4">
        <v>43468</v>
      </c>
      <c r="P34" s="3" t="s">
        <v>29</v>
      </c>
      <c r="Q34" s="3" t="s">
        <v>31</v>
      </c>
      <c r="R34" s="3" t="s">
        <v>34</v>
      </c>
      <c r="S34" s="3" t="s">
        <v>40</v>
      </c>
      <c r="T34" s="3" t="s">
        <v>45</v>
      </c>
      <c r="U34" s="3">
        <v>17.043302613306402</v>
      </c>
      <c r="V34" s="3" t="s">
        <v>159</v>
      </c>
      <c r="W34" s="5">
        <v>10031</v>
      </c>
    </row>
    <row r="35" spans="1:23" ht="15.75" x14ac:dyDescent="0.25">
      <c r="A35" s="3">
        <v>34</v>
      </c>
      <c r="B35" s="3" t="s">
        <v>17</v>
      </c>
      <c r="C35" s="3" t="s">
        <v>0</v>
      </c>
      <c r="D35" s="4">
        <v>33884</v>
      </c>
      <c r="E35" s="3">
        <v>178</v>
      </c>
      <c r="F35" s="3">
        <v>54</v>
      </c>
      <c r="G35" s="3" t="s">
        <v>47</v>
      </c>
      <c r="H35" s="3" t="s">
        <v>3</v>
      </c>
      <c r="I35" s="3">
        <v>3</v>
      </c>
      <c r="J35" s="3" t="s">
        <v>43</v>
      </c>
      <c r="K35" s="3" t="s">
        <v>44</v>
      </c>
      <c r="L35" s="3" t="s">
        <v>131</v>
      </c>
      <c r="M35" s="3" t="s">
        <v>132</v>
      </c>
      <c r="N35" s="4">
        <v>43745</v>
      </c>
      <c r="O35" s="4" t="s">
        <v>133</v>
      </c>
      <c r="P35" s="3" t="s">
        <v>29</v>
      </c>
      <c r="Q35" s="3" t="s">
        <v>30</v>
      </c>
      <c r="R35" s="3" t="s">
        <v>32</v>
      </c>
      <c r="S35" s="3" t="s">
        <v>40</v>
      </c>
      <c r="T35" s="3" t="s">
        <v>45</v>
      </c>
      <c r="U35" s="3">
        <v>17.043302613306402</v>
      </c>
      <c r="V35" s="3" t="s">
        <v>159</v>
      </c>
      <c r="W35" s="5">
        <v>10121</v>
      </c>
    </row>
    <row r="36" spans="1:23" ht="15.75" x14ac:dyDescent="0.25">
      <c r="A36" s="3">
        <v>35</v>
      </c>
      <c r="B36" s="3" t="s">
        <v>17</v>
      </c>
      <c r="C36" s="3" t="s">
        <v>0</v>
      </c>
      <c r="D36" s="4">
        <v>33729</v>
      </c>
      <c r="E36" s="3">
        <v>180</v>
      </c>
      <c r="F36" s="3">
        <v>76</v>
      </c>
      <c r="G36" s="3" t="s">
        <v>47</v>
      </c>
      <c r="H36" s="3" t="s">
        <v>3</v>
      </c>
      <c r="I36" s="3">
        <v>34</v>
      </c>
      <c r="J36" s="3" t="s">
        <v>43</v>
      </c>
      <c r="K36" s="3" t="s">
        <v>44</v>
      </c>
      <c r="L36" s="3" t="s">
        <v>69</v>
      </c>
      <c r="M36" s="3" t="s">
        <v>134</v>
      </c>
      <c r="N36" s="4" t="s">
        <v>135</v>
      </c>
      <c r="O36" s="4">
        <v>43678</v>
      </c>
      <c r="P36" s="3" t="s">
        <v>29</v>
      </c>
      <c r="Q36" s="3" t="s">
        <v>30</v>
      </c>
      <c r="R36" s="3" t="s">
        <v>34</v>
      </c>
      <c r="S36" s="3" t="s">
        <v>39</v>
      </c>
      <c r="T36" s="3" t="s">
        <v>44</v>
      </c>
      <c r="U36" s="3">
        <v>23.456790123456788</v>
      </c>
      <c r="V36" s="3" t="s">
        <v>158</v>
      </c>
      <c r="W36" s="5">
        <v>10187</v>
      </c>
    </row>
    <row r="37" spans="1:23" ht="15.75" x14ac:dyDescent="0.25">
      <c r="A37" s="3">
        <v>36</v>
      </c>
      <c r="B37" s="3" t="s">
        <v>16</v>
      </c>
      <c r="C37" s="3" t="s">
        <v>1</v>
      </c>
      <c r="D37" s="4">
        <v>31902</v>
      </c>
      <c r="E37" s="3">
        <v>180</v>
      </c>
      <c r="F37" s="3">
        <v>103</v>
      </c>
      <c r="G37" s="3" t="s">
        <v>4</v>
      </c>
      <c r="H37" s="3" t="s">
        <v>2</v>
      </c>
      <c r="I37" s="3">
        <v>29</v>
      </c>
      <c r="J37" s="3" t="s">
        <v>43</v>
      </c>
      <c r="K37" s="3" t="s">
        <v>44</v>
      </c>
      <c r="L37" s="3" t="s">
        <v>69</v>
      </c>
      <c r="M37" s="3" t="s">
        <v>134</v>
      </c>
      <c r="N37" s="4">
        <v>43653</v>
      </c>
      <c r="O37" s="4">
        <v>43678</v>
      </c>
      <c r="P37" s="3" t="s">
        <v>29</v>
      </c>
      <c r="Q37" s="3" t="s">
        <v>30</v>
      </c>
      <c r="R37" s="3" t="s">
        <v>34</v>
      </c>
      <c r="S37" s="3" t="s">
        <v>37</v>
      </c>
      <c r="T37" s="3" t="s">
        <v>44</v>
      </c>
      <c r="U37" s="3">
        <v>31.79012345679012</v>
      </c>
      <c r="V37" s="3" t="s">
        <v>161</v>
      </c>
      <c r="W37" s="5">
        <v>12013</v>
      </c>
    </row>
    <row r="38" spans="1:23" ht="15.75" x14ac:dyDescent="0.25">
      <c r="A38" s="3">
        <v>37</v>
      </c>
      <c r="B38" s="3" t="s">
        <v>16</v>
      </c>
      <c r="C38" s="3" t="s">
        <v>1</v>
      </c>
      <c r="D38" s="4" t="s">
        <v>136</v>
      </c>
      <c r="E38" s="3">
        <v>159</v>
      </c>
      <c r="F38" s="3">
        <v>76</v>
      </c>
      <c r="G38" s="3" t="s">
        <v>4</v>
      </c>
      <c r="H38" s="3" t="s">
        <v>2</v>
      </c>
      <c r="I38" s="3">
        <v>0</v>
      </c>
      <c r="J38" s="3" t="s">
        <v>43</v>
      </c>
      <c r="K38" s="3" t="s">
        <v>44</v>
      </c>
      <c r="L38" s="3" t="s">
        <v>137</v>
      </c>
      <c r="M38" s="3" t="s">
        <v>138</v>
      </c>
      <c r="N38" s="4">
        <v>43653</v>
      </c>
      <c r="O38" s="4">
        <v>43678</v>
      </c>
      <c r="P38" s="3" t="s">
        <v>29</v>
      </c>
      <c r="Q38" s="3" t="s">
        <v>30</v>
      </c>
      <c r="R38" s="3" t="s">
        <v>34</v>
      </c>
      <c r="S38" s="3" t="s">
        <v>36</v>
      </c>
      <c r="T38" s="3" t="s">
        <v>44</v>
      </c>
      <c r="U38" s="3">
        <v>30.062101973814325</v>
      </c>
      <c r="V38" s="3" t="s">
        <v>161</v>
      </c>
      <c r="W38" s="5">
        <v>11302</v>
      </c>
    </row>
    <row r="39" spans="1:23" ht="15.75" x14ac:dyDescent="0.25">
      <c r="A39" s="3">
        <v>38</v>
      </c>
      <c r="B39" s="3" t="s">
        <v>16</v>
      </c>
      <c r="C39" s="3" t="s">
        <v>1</v>
      </c>
      <c r="D39" s="4" t="s">
        <v>139</v>
      </c>
      <c r="E39" s="3">
        <v>178</v>
      </c>
      <c r="F39" s="3">
        <v>90</v>
      </c>
      <c r="G39" s="3" t="s">
        <v>3</v>
      </c>
      <c r="H39" s="3" t="s">
        <v>2</v>
      </c>
      <c r="I39" s="3">
        <v>40</v>
      </c>
      <c r="J39" s="3" t="s">
        <v>43</v>
      </c>
      <c r="K39" s="3" t="s">
        <v>44</v>
      </c>
      <c r="L39" s="3" t="s">
        <v>140</v>
      </c>
      <c r="M39" s="3" t="s">
        <v>141</v>
      </c>
      <c r="N39" s="4" t="s">
        <v>142</v>
      </c>
      <c r="O39" s="4">
        <v>43678</v>
      </c>
      <c r="P39" s="3" t="s">
        <v>27</v>
      </c>
      <c r="Q39" s="3" t="s">
        <v>31</v>
      </c>
      <c r="R39" s="3" t="s">
        <v>33</v>
      </c>
      <c r="S39" s="3" t="s">
        <v>36</v>
      </c>
      <c r="T39" s="3" t="s">
        <v>44</v>
      </c>
      <c r="U39" s="3">
        <v>28.405504355510669</v>
      </c>
      <c r="V39" s="3" t="s">
        <v>152</v>
      </c>
      <c r="W39" s="5">
        <v>11298</v>
      </c>
    </row>
    <row r="40" spans="1:23" ht="15.75" x14ac:dyDescent="0.25">
      <c r="A40" s="3">
        <v>39</v>
      </c>
      <c r="B40" s="3" t="s">
        <v>17</v>
      </c>
      <c r="C40" s="3" t="s">
        <v>0</v>
      </c>
      <c r="D40" s="4" t="s">
        <v>143</v>
      </c>
      <c r="E40" s="3">
        <v>178</v>
      </c>
      <c r="F40" s="3">
        <v>96</v>
      </c>
      <c r="G40" s="3" t="s">
        <v>47</v>
      </c>
      <c r="H40" s="3" t="s">
        <v>2</v>
      </c>
      <c r="I40" s="3">
        <v>0</v>
      </c>
      <c r="J40" s="3" t="s">
        <v>43</v>
      </c>
      <c r="K40" s="3" t="s">
        <v>44</v>
      </c>
      <c r="L40" s="3" t="s">
        <v>224</v>
      </c>
      <c r="M40" s="3" t="s">
        <v>144</v>
      </c>
      <c r="N40" s="4" t="s">
        <v>142</v>
      </c>
      <c r="O40" s="4" t="s">
        <v>145</v>
      </c>
      <c r="P40" s="3" t="s">
        <v>29</v>
      </c>
      <c r="Q40" s="3" t="s">
        <v>30</v>
      </c>
      <c r="R40" s="3" t="s">
        <v>34</v>
      </c>
      <c r="S40" s="3" t="s">
        <v>39</v>
      </c>
      <c r="T40" s="3" t="s">
        <v>45</v>
      </c>
      <c r="U40" s="3">
        <v>30.299204645878046</v>
      </c>
      <c r="V40" s="3" t="s">
        <v>161</v>
      </c>
      <c r="W40" s="5">
        <v>18239</v>
      </c>
    </row>
    <row r="41" spans="1:23" ht="15.75" x14ac:dyDescent="0.25">
      <c r="A41" s="3">
        <v>40</v>
      </c>
      <c r="B41" s="3" t="s">
        <v>17</v>
      </c>
      <c r="C41" s="3" t="s">
        <v>1</v>
      </c>
      <c r="D41" s="4" t="s">
        <v>146</v>
      </c>
      <c r="E41" s="3">
        <v>178</v>
      </c>
      <c r="F41" s="3">
        <v>87</v>
      </c>
      <c r="G41" s="3" t="s">
        <v>47</v>
      </c>
      <c r="H41" s="3" t="s">
        <v>2</v>
      </c>
      <c r="I41" s="3">
        <v>0</v>
      </c>
      <c r="J41" s="3" t="s">
        <v>43</v>
      </c>
      <c r="K41" s="3" t="s">
        <v>44</v>
      </c>
      <c r="L41" s="3" t="s">
        <v>224</v>
      </c>
      <c r="M41" s="3" t="s">
        <v>144</v>
      </c>
      <c r="N41" s="4" t="s">
        <v>147</v>
      </c>
      <c r="O41" s="4" t="s">
        <v>148</v>
      </c>
      <c r="P41" s="3" t="s">
        <v>29</v>
      </c>
      <c r="Q41" s="3" t="s">
        <v>30</v>
      </c>
      <c r="R41" s="3" t="s">
        <v>35</v>
      </c>
      <c r="S41" s="3" t="s">
        <v>40</v>
      </c>
      <c r="T41" s="3" t="s">
        <v>44</v>
      </c>
      <c r="U41" s="3">
        <v>27.458654210326976</v>
      </c>
      <c r="V41" s="3" t="s">
        <v>152</v>
      </c>
      <c r="W41" s="5">
        <v>23351</v>
      </c>
    </row>
    <row r="42" spans="1:23" ht="15.75" x14ac:dyDescent="0.25">
      <c r="A42" s="3">
        <v>41</v>
      </c>
      <c r="B42" s="3" t="s">
        <v>17</v>
      </c>
      <c r="C42" s="3" t="s">
        <v>1</v>
      </c>
      <c r="D42" s="3" t="s">
        <v>153</v>
      </c>
      <c r="E42" s="3">
        <v>178</v>
      </c>
      <c r="F42" s="3">
        <v>62</v>
      </c>
      <c r="G42" s="3" t="s">
        <v>3</v>
      </c>
      <c r="H42" s="3" t="s">
        <v>2</v>
      </c>
      <c r="I42" s="3">
        <v>65</v>
      </c>
      <c r="J42" s="3" t="s">
        <v>43</v>
      </c>
      <c r="K42" s="3" t="s">
        <v>44</v>
      </c>
      <c r="L42" s="3" t="s">
        <v>154</v>
      </c>
      <c r="M42" s="3" t="s">
        <v>155</v>
      </c>
      <c r="N42" s="4" t="s">
        <v>156</v>
      </c>
      <c r="O42" s="3" t="s">
        <v>157</v>
      </c>
      <c r="P42" s="3" t="s">
        <v>29</v>
      </c>
      <c r="Q42" s="3" t="s">
        <v>30</v>
      </c>
      <c r="R42" s="3" t="s">
        <v>32</v>
      </c>
      <c r="S42" s="3" t="s">
        <v>38</v>
      </c>
      <c r="T42" s="3" t="s">
        <v>42</v>
      </c>
      <c r="U42" s="3">
        <v>19.568236333796236</v>
      </c>
      <c r="V42" s="3" t="s">
        <v>158</v>
      </c>
      <c r="W42" s="5">
        <v>26273</v>
      </c>
    </row>
    <row r="43" spans="1:23" ht="15.75" x14ac:dyDescent="0.25">
      <c r="A43" s="3">
        <v>42</v>
      </c>
      <c r="B43" s="3" t="s">
        <v>17</v>
      </c>
      <c r="C43" s="3" t="s">
        <v>1</v>
      </c>
      <c r="D43" s="3" t="s">
        <v>165</v>
      </c>
      <c r="E43" s="3">
        <v>179</v>
      </c>
      <c r="F43" s="3">
        <v>68</v>
      </c>
      <c r="G43" s="3" t="s">
        <v>3</v>
      </c>
      <c r="H43" s="3" t="s">
        <v>2</v>
      </c>
      <c r="I43" s="3">
        <v>5</v>
      </c>
      <c r="J43" s="3" t="s">
        <v>43</v>
      </c>
      <c r="K43" s="3" t="s">
        <v>44</v>
      </c>
      <c r="L43" s="3" t="s">
        <v>166</v>
      </c>
      <c r="M43" s="3" t="s">
        <v>167</v>
      </c>
      <c r="N43" s="4">
        <v>43800</v>
      </c>
      <c r="O43" s="4" t="s">
        <v>168</v>
      </c>
      <c r="P43" s="3" t="s">
        <v>29</v>
      </c>
      <c r="Q43" s="3" t="s">
        <v>31</v>
      </c>
      <c r="R43" s="3" t="s">
        <v>35</v>
      </c>
      <c r="S43" s="3" t="s">
        <v>36</v>
      </c>
      <c r="T43" s="3" t="s">
        <v>45</v>
      </c>
      <c r="U43" s="3">
        <v>21.222808276895229</v>
      </c>
      <c r="V43" s="3" t="s">
        <v>158</v>
      </c>
      <c r="W43" s="5">
        <v>24710</v>
      </c>
    </row>
    <row r="44" spans="1:23" ht="15.75" x14ac:dyDescent="0.25">
      <c r="A44" s="3">
        <v>43</v>
      </c>
      <c r="B44" s="3" t="s">
        <v>17</v>
      </c>
      <c r="C44" s="3" t="s">
        <v>1</v>
      </c>
      <c r="D44" s="3" t="s">
        <v>160</v>
      </c>
      <c r="E44" s="3">
        <v>196</v>
      </c>
      <c r="F44" s="3">
        <v>65</v>
      </c>
      <c r="G44" s="3" t="s">
        <v>3</v>
      </c>
      <c r="H44" s="3" t="s">
        <v>2</v>
      </c>
      <c r="I44" s="3">
        <v>15</v>
      </c>
      <c r="J44" s="3" t="s">
        <v>43</v>
      </c>
      <c r="K44" s="3" t="s">
        <v>44</v>
      </c>
      <c r="L44" s="3" t="s">
        <v>164</v>
      </c>
      <c r="M44" s="3" t="s">
        <v>141</v>
      </c>
      <c r="N44" s="4">
        <v>43800</v>
      </c>
      <c r="O44" s="4">
        <v>43801</v>
      </c>
      <c r="P44" s="3" t="s">
        <v>27</v>
      </c>
      <c r="Q44" s="3" t="s">
        <v>31</v>
      </c>
      <c r="R44" s="3" t="s">
        <v>33</v>
      </c>
      <c r="S44" s="3" t="s">
        <v>36</v>
      </c>
      <c r="T44" s="3" t="s">
        <v>44</v>
      </c>
      <c r="U44" s="3">
        <v>16.92003331945023</v>
      </c>
      <c r="V44" s="3" t="s">
        <v>159</v>
      </c>
      <c r="W44" s="5">
        <v>7724</v>
      </c>
    </row>
    <row r="45" spans="1:23" ht="15.75" x14ac:dyDescent="0.25">
      <c r="A45" s="3">
        <v>44</v>
      </c>
      <c r="B45" s="3" t="s">
        <v>17</v>
      </c>
      <c r="C45" s="3" t="s">
        <v>1</v>
      </c>
      <c r="D45" s="3" t="s">
        <v>169</v>
      </c>
      <c r="E45" s="3">
        <v>161</v>
      </c>
      <c r="F45" s="3">
        <v>65</v>
      </c>
      <c r="G45" s="3" t="s">
        <v>3</v>
      </c>
      <c r="H45" s="3" t="s">
        <v>2</v>
      </c>
      <c r="I45" s="3">
        <v>13</v>
      </c>
      <c r="J45" s="3" t="s">
        <v>44</v>
      </c>
      <c r="K45" s="3" t="s">
        <v>44</v>
      </c>
      <c r="L45" s="3" t="s">
        <v>164</v>
      </c>
      <c r="M45" s="3" t="s">
        <v>170</v>
      </c>
      <c r="N45" s="4">
        <v>43498</v>
      </c>
      <c r="O45" s="4">
        <v>43504</v>
      </c>
      <c r="P45" s="3" t="s">
        <v>28</v>
      </c>
      <c r="Q45" s="3" t="s">
        <v>31</v>
      </c>
      <c r="R45" s="3" t="s">
        <v>35</v>
      </c>
      <c r="S45" s="3" t="s">
        <v>36</v>
      </c>
      <c r="T45" s="3" t="s">
        <v>44</v>
      </c>
      <c r="U45" s="3">
        <v>25.076193048107708</v>
      </c>
      <c r="V45" s="3" t="s">
        <v>152</v>
      </c>
      <c r="W45" s="5">
        <v>22950</v>
      </c>
    </row>
    <row r="46" spans="1:23" ht="15.75" x14ac:dyDescent="0.25">
      <c r="A46" s="3">
        <v>45</v>
      </c>
      <c r="B46" s="3" t="s">
        <v>17</v>
      </c>
      <c r="C46" s="3" t="s">
        <v>1</v>
      </c>
      <c r="D46" s="4">
        <v>34824</v>
      </c>
      <c r="E46" s="3">
        <v>161</v>
      </c>
      <c r="F46" s="3">
        <v>76</v>
      </c>
      <c r="G46" s="3" t="s">
        <v>3</v>
      </c>
      <c r="H46" s="3" t="s">
        <v>2</v>
      </c>
      <c r="I46" s="3">
        <v>10</v>
      </c>
      <c r="J46" s="3" t="s">
        <v>44</v>
      </c>
      <c r="K46" s="3" t="s">
        <v>44</v>
      </c>
      <c r="L46" s="3" t="s">
        <v>69</v>
      </c>
      <c r="M46" s="3" t="s">
        <v>171</v>
      </c>
      <c r="N46" s="4">
        <v>43498</v>
      </c>
      <c r="O46" s="4">
        <v>43504</v>
      </c>
      <c r="P46" s="3" t="s">
        <v>28</v>
      </c>
      <c r="Q46" s="3" t="s">
        <v>31</v>
      </c>
      <c r="R46" s="3" t="s">
        <v>35</v>
      </c>
      <c r="S46" s="3" t="s">
        <v>36</v>
      </c>
      <c r="T46" s="3" t="s">
        <v>44</v>
      </c>
      <c r="U46" s="3">
        <v>29.319856487018246</v>
      </c>
      <c r="V46" s="3" t="s">
        <v>152</v>
      </c>
      <c r="W46" s="5">
        <v>9091</v>
      </c>
    </row>
    <row r="47" spans="1:23" ht="15.75" x14ac:dyDescent="0.25">
      <c r="A47" s="3">
        <v>46</v>
      </c>
      <c r="B47" s="3" t="s">
        <v>16</v>
      </c>
      <c r="C47" s="3" t="s">
        <v>0</v>
      </c>
      <c r="D47" s="4">
        <v>34490</v>
      </c>
      <c r="E47" s="3">
        <v>171</v>
      </c>
      <c r="F47" s="3">
        <v>76</v>
      </c>
      <c r="G47" s="3" t="s">
        <v>47</v>
      </c>
      <c r="H47" s="3" t="s">
        <v>2</v>
      </c>
      <c r="I47" s="3">
        <v>10</v>
      </c>
      <c r="J47" s="3" t="s">
        <v>44</v>
      </c>
      <c r="K47" s="3" t="s">
        <v>44</v>
      </c>
      <c r="L47" s="3" t="s">
        <v>69</v>
      </c>
      <c r="M47" s="3" t="s">
        <v>172</v>
      </c>
      <c r="N47" s="4">
        <v>43526</v>
      </c>
      <c r="O47" s="4">
        <v>43679</v>
      </c>
      <c r="P47" s="3" t="s">
        <v>28</v>
      </c>
      <c r="Q47" s="3" t="s">
        <v>31</v>
      </c>
      <c r="R47" s="3" t="s">
        <v>35</v>
      </c>
      <c r="S47" s="3" t="s">
        <v>40</v>
      </c>
      <c r="T47" s="3" t="s">
        <v>44</v>
      </c>
      <c r="U47" s="3">
        <v>25.990903183885642</v>
      </c>
      <c r="V47" s="3" t="s">
        <v>152</v>
      </c>
      <c r="W47" s="5">
        <v>9455</v>
      </c>
    </row>
    <row r="48" spans="1:23" ht="15.75" x14ac:dyDescent="0.25">
      <c r="A48" s="3">
        <v>47</v>
      </c>
      <c r="B48" s="3" t="s">
        <v>16</v>
      </c>
      <c r="C48" s="3" t="s">
        <v>0</v>
      </c>
      <c r="D48" s="4">
        <v>33090</v>
      </c>
      <c r="E48" s="3">
        <v>171</v>
      </c>
      <c r="F48" s="3">
        <v>86</v>
      </c>
      <c r="G48" s="3" t="s">
        <v>47</v>
      </c>
      <c r="H48" s="3" t="s">
        <v>3</v>
      </c>
      <c r="I48" s="3">
        <v>19</v>
      </c>
      <c r="J48" s="3" t="s">
        <v>43</v>
      </c>
      <c r="K48" s="3" t="s">
        <v>44</v>
      </c>
      <c r="L48" s="3" t="s">
        <v>173</v>
      </c>
      <c r="M48" s="3" t="s">
        <v>174</v>
      </c>
      <c r="N48" s="4">
        <v>43526</v>
      </c>
      <c r="O48" s="4">
        <v>43740</v>
      </c>
      <c r="P48" s="3" t="s">
        <v>29</v>
      </c>
      <c r="Q48" s="3" t="s">
        <v>30</v>
      </c>
      <c r="R48" s="3" t="s">
        <v>34</v>
      </c>
      <c r="S48" s="3" t="s">
        <v>40</v>
      </c>
      <c r="T48" s="3" t="s">
        <v>45</v>
      </c>
      <c r="U48" s="3">
        <v>29.410758865975858</v>
      </c>
      <c r="V48" s="3" t="s">
        <v>152</v>
      </c>
      <c r="W48" s="5">
        <v>10914</v>
      </c>
    </row>
    <row r="49" spans="1:23" ht="15.75" x14ac:dyDescent="0.25">
      <c r="A49" s="3">
        <v>48</v>
      </c>
      <c r="B49" s="3" t="s">
        <v>17</v>
      </c>
      <c r="C49" s="3" t="s">
        <v>1</v>
      </c>
      <c r="D49" s="4" t="s">
        <v>175</v>
      </c>
      <c r="E49" s="3">
        <v>191</v>
      </c>
      <c r="F49" s="3">
        <v>80</v>
      </c>
      <c r="G49" s="3" t="s">
        <v>2</v>
      </c>
      <c r="H49" s="3" t="s">
        <v>2</v>
      </c>
      <c r="I49" s="3">
        <v>9</v>
      </c>
      <c r="J49" s="3" t="s">
        <v>43</v>
      </c>
      <c r="K49" s="3" t="s">
        <v>44</v>
      </c>
      <c r="L49" s="3" t="s">
        <v>176</v>
      </c>
      <c r="M49" s="3" t="s">
        <v>174</v>
      </c>
      <c r="N49" s="4">
        <v>43536</v>
      </c>
      <c r="O49" s="4">
        <v>43750</v>
      </c>
      <c r="P49" s="3" t="s">
        <v>29</v>
      </c>
      <c r="Q49" s="3" t="s">
        <v>31</v>
      </c>
      <c r="R49" s="3" t="s">
        <v>34</v>
      </c>
      <c r="S49" s="3" t="s">
        <v>36</v>
      </c>
      <c r="T49" s="3" t="s">
        <v>45</v>
      </c>
      <c r="U49" s="3">
        <v>21.929223431375235</v>
      </c>
      <c r="V49" s="3" t="s">
        <v>158</v>
      </c>
      <c r="W49" s="5">
        <v>10904</v>
      </c>
    </row>
    <row r="50" spans="1:23" ht="15.75" x14ac:dyDescent="0.25">
      <c r="A50" s="3">
        <v>49</v>
      </c>
      <c r="B50" s="3" t="s">
        <v>17</v>
      </c>
      <c r="C50" s="3" t="s">
        <v>0</v>
      </c>
      <c r="D50" s="4" t="s">
        <v>177</v>
      </c>
      <c r="E50" s="3">
        <v>191</v>
      </c>
      <c r="F50" s="3">
        <v>87</v>
      </c>
      <c r="G50" s="3" t="s">
        <v>47</v>
      </c>
      <c r="H50" s="3" t="s">
        <v>2</v>
      </c>
      <c r="I50" s="3">
        <v>0</v>
      </c>
      <c r="J50" s="3" t="s">
        <v>43</v>
      </c>
      <c r="K50" s="3" t="s">
        <v>44</v>
      </c>
      <c r="L50" s="3" t="s">
        <v>277</v>
      </c>
      <c r="M50" s="3" t="s">
        <v>67</v>
      </c>
      <c r="N50" s="4">
        <v>43536</v>
      </c>
      <c r="O50" s="4" t="s">
        <v>78</v>
      </c>
      <c r="P50" s="3" t="s">
        <v>29</v>
      </c>
      <c r="Q50" s="3" t="s">
        <v>30</v>
      </c>
      <c r="R50" s="3" t="s">
        <v>34</v>
      </c>
      <c r="S50" s="3" t="s">
        <v>41</v>
      </c>
      <c r="T50" s="3" t="s">
        <v>42</v>
      </c>
      <c r="U50" s="3">
        <v>23.848030481620569</v>
      </c>
      <c r="V50" s="3" t="s">
        <v>158</v>
      </c>
      <c r="W50" s="5">
        <v>10720</v>
      </c>
    </row>
    <row r="51" spans="1:23" ht="15.75" x14ac:dyDescent="0.25">
      <c r="A51" s="3">
        <v>50</v>
      </c>
      <c r="B51" s="3" t="s">
        <v>16</v>
      </c>
      <c r="C51" s="3" t="s">
        <v>1</v>
      </c>
      <c r="D51" s="4" t="s">
        <v>178</v>
      </c>
      <c r="E51" s="3">
        <v>167</v>
      </c>
      <c r="F51" s="3">
        <v>87</v>
      </c>
      <c r="G51" s="3" t="s">
        <v>2</v>
      </c>
      <c r="H51" s="3" t="s">
        <v>2</v>
      </c>
      <c r="I51" s="3">
        <v>30</v>
      </c>
      <c r="J51" s="3" t="s">
        <v>43</v>
      </c>
      <c r="K51" s="3" t="s">
        <v>44</v>
      </c>
      <c r="L51" s="3" t="s">
        <v>103</v>
      </c>
      <c r="M51" s="3" t="s">
        <v>179</v>
      </c>
      <c r="N51" s="4">
        <v>43536</v>
      </c>
      <c r="O51" s="4" t="s">
        <v>78</v>
      </c>
      <c r="P51" s="3" t="s">
        <v>27</v>
      </c>
      <c r="Q51" s="3" t="s">
        <v>31</v>
      </c>
      <c r="R51" s="3" t="s">
        <v>33</v>
      </c>
      <c r="S51" s="3" t="s">
        <v>36</v>
      </c>
      <c r="T51" s="3" t="s">
        <v>45</v>
      </c>
      <c r="U51" s="3">
        <v>31.1950948402596</v>
      </c>
      <c r="V51" s="3" t="s">
        <v>161</v>
      </c>
      <c r="W51" s="5">
        <v>10712</v>
      </c>
    </row>
    <row r="52" spans="1:23" ht="15.75" x14ac:dyDescent="0.25">
      <c r="A52" s="3">
        <v>51</v>
      </c>
      <c r="B52" s="3" t="s">
        <v>16</v>
      </c>
      <c r="C52" s="3" t="s">
        <v>1</v>
      </c>
      <c r="D52" s="4" t="s">
        <v>180</v>
      </c>
      <c r="E52" s="3">
        <v>120</v>
      </c>
      <c r="F52" s="3">
        <v>20</v>
      </c>
      <c r="G52" s="3" t="s">
        <v>3</v>
      </c>
      <c r="H52" s="3" t="s">
        <v>2</v>
      </c>
      <c r="I52" s="3">
        <v>20</v>
      </c>
      <c r="J52" s="3" t="s">
        <v>43</v>
      </c>
      <c r="K52" s="3" t="s">
        <v>44</v>
      </c>
      <c r="L52" s="3" t="s">
        <v>55</v>
      </c>
      <c r="M52" s="3" t="s">
        <v>155</v>
      </c>
      <c r="N52" s="4" t="s">
        <v>115</v>
      </c>
      <c r="O52" s="4" t="s">
        <v>181</v>
      </c>
      <c r="P52" s="3" t="s">
        <v>27</v>
      </c>
      <c r="Q52" s="3" t="s">
        <v>31</v>
      </c>
      <c r="R52" s="3" t="s">
        <v>34</v>
      </c>
      <c r="S52" s="3" t="s">
        <v>36</v>
      </c>
      <c r="T52" s="3" t="s">
        <v>44</v>
      </c>
      <c r="U52" s="3">
        <v>13.888888888888889</v>
      </c>
      <c r="V52" s="3" t="s">
        <v>262</v>
      </c>
      <c r="W52" s="5">
        <v>430</v>
      </c>
    </row>
    <row r="53" spans="1:23" ht="15.75" x14ac:dyDescent="0.25">
      <c r="A53" s="3">
        <v>52</v>
      </c>
      <c r="B53" s="3" t="s">
        <v>16</v>
      </c>
      <c r="C53" s="3" t="s">
        <v>1</v>
      </c>
      <c r="D53" s="4" t="s">
        <v>182</v>
      </c>
      <c r="E53" s="3">
        <v>145</v>
      </c>
      <c r="F53" s="3">
        <v>42</v>
      </c>
      <c r="G53" s="3" t="s">
        <v>3</v>
      </c>
      <c r="H53" s="3" t="s">
        <v>3</v>
      </c>
      <c r="I53" s="3">
        <v>22</v>
      </c>
      <c r="J53" s="3" t="s">
        <v>43</v>
      </c>
      <c r="K53" s="3" t="s">
        <v>44</v>
      </c>
      <c r="L53" s="3" t="s">
        <v>55</v>
      </c>
      <c r="M53" s="3" t="s">
        <v>83</v>
      </c>
      <c r="N53" s="4" t="s">
        <v>183</v>
      </c>
      <c r="O53" s="4" t="s">
        <v>184</v>
      </c>
      <c r="P53" s="3" t="s">
        <v>29</v>
      </c>
      <c r="Q53" s="3" t="s">
        <v>30</v>
      </c>
      <c r="R53" s="3" t="s">
        <v>32</v>
      </c>
      <c r="S53" s="3" t="s">
        <v>36</v>
      </c>
      <c r="T53" s="3" t="s">
        <v>44</v>
      </c>
      <c r="U53" s="3">
        <v>19.976218787158146</v>
      </c>
      <c r="V53" s="3" t="s">
        <v>158</v>
      </c>
      <c r="W53" s="5">
        <v>4782</v>
      </c>
    </row>
    <row r="54" spans="1:23" ht="15.75" x14ac:dyDescent="0.25">
      <c r="A54" s="3">
        <v>53</v>
      </c>
      <c r="B54" s="3" t="s">
        <v>16</v>
      </c>
      <c r="C54" s="3" t="s">
        <v>1</v>
      </c>
      <c r="D54" s="4" t="s">
        <v>185</v>
      </c>
      <c r="E54" s="3">
        <v>145</v>
      </c>
      <c r="F54" s="3">
        <v>68</v>
      </c>
      <c r="G54" s="3" t="s">
        <v>3</v>
      </c>
      <c r="H54" s="3" t="s">
        <v>2</v>
      </c>
      <c r="I54" s="3">
        <v>20</v>
      </c>
      <c r="J54" s="3" t="s">
        <v>43</v>
      </c>
      <c r="K54" s="3" t="s">
        <v>44</v>
      </c>
      <c r="L54" s="3" t="s">
        <v>55</v>
      </c>
      <c r="M54" s="3" t="s">
        <v>186</v>
      </c>
      <c r="N54" s="4" t="s">
        <v>183</v>
      </c>
      <c r="O54" s="4" t="s">
        <v>187</v>
      </c>
      <c r="P54" s="3" t="s">
        <v>29</v>
      </c>
      <c r="Q54" s="3" t="s">
        <v>30</v>
      </c>
      <c r="R54" s="3" t="s">
        <v>34</v>
      </c>
      <c r="S54" s="3" t="s">
        <v>36</v>
      </c>
      <c r="T54" s="3" t="s">
        <v>44</v>
      </c>
      <c r="U54" s="3">
        <v>32.342449464922709</v>
      </c>
      <c r="V54" s="3" t="s">
        <v>161</v>
      </c>
      <c r="W54" s="5">
        <v>6945</v>
      </c>
    </row>
    <row r="55" spans="1:23" ht="15.75" x14ac:dyDescent="0.25">
      <c r="A55" s="3">
        <v>54</v>
      </c>
      <c r="B55" s="3" t="s">
        <v>17</v>
      </c>
      <c r="C55" s="3" t="s">
        <v>0</v>
      </c>
      <c r="D55" s="4" t="s">
        <v>188</v>
      </c>
      <c r="E55" s="3">
        <v>172</v>
      </c>
      <c r="F55" s="3">
        <v>104</v>
      </c>
      <c r="G55" s="3" t="s">
        <v>47</v>
      </c>
      <c r="H55" s="3" t="s">
        <v>2</v>
      </c>
      <c r="I55" s="3">
        <v>0</v>
      </c>
      <c r="J55" s="3" t="s">
        <v>43</v>
      </c>
      <c r="K55" s="3" t="s">
        <v>44</v>
      </c>
      <c r="L55" s="3" t="s">
        <v>189</v>
      </c>
      <c r="M55" s="3" t="s">
        <v>190</v>
      </c>
      <c r="N55" s="4" t="s">
        <v>191</v>
      </c>
      <c r="O55" s="4">
        <v>43498</v>
      </c>
      <c r="P55" s="3" t="s">
        <v>27</v>
      </c>
      <c r="Q55" s="3" t="s">
        <v>31</v>
      </c>
      <c r="R55" s="3" t="s">
        <v>33</v>
      </c>
      <c r="S55" s="3" t="s">
        <v>36</v>
      </c>
      <c r="T55" s="3" t="s">
        <v>44</v>
      </c>
      <c r="U55" s="3">
        <v>35.154137371552196</v>
      </c>
      <c r="V55" s="3" t="s">
        <v>162</v>
      </c>
      <c r="W55" s="5">
        <v>3659</v>
      </c>
    </row>
    <row r="56" spans="1:23" ht="15.75" x14ac:dyDescent="0.25">
      <c r="A56" s="3">
        <v>55</v>
      </c>
      <c r="B56" s="3" t="s">
        <v>17</v>
      </c>
      <c r="C56" s="3" t="s">
        <v>0</v>
      </c>
      <c r="D56" s="4" t="s">
        <v>192</v>
      </c>
      <c r="E56" s="3">
        <v>192</v>
      </c>
      <c r="F56" s="3">
        <v>110</v>
      </c>
      <c r="G56" s="3" t="s">
        <v>47</v>
      </c>
      <c r="H56" s="3" t="s">
        <v>3</v>
      </c>
      <c r="I56" s="3">
        <v>30</v>
      </c>
      <c r="J56" s="3" t="s">
        <v>43</v>
      </c>
      <c r="K56" s="3" t="s">
        <v>44</v>
      </c>
      <c r="L56" s="3" t="s">
        <v>49</v>
      </c>
      <c r="M56" s="3" t="s">
        <v>130</v>
      </c>
      <c r="N56" s="4">
        <v>43470</v>
      </c>
      <c r="O56" s="4">
        <v>43477</v>
      </c>
      <c r="P56" s="3" t="s">
        <v>28</v>
      </c>
      <c r="Q56" s="3" t="s">
        <v>31</v>
      </c>
      <c r="R56" s="3" t="s">
        <v>33</v>
      </c>
      <c r="S56" s="3" t="s">
        <v>36</v>
      </c>
      <c r="T56" s="3" t="s">
        <v>45</v>
      </c>
      <c r="U56" s="3">
        <v>29.839409722222221</v>
      </c>
      <c r="V56" s="3" t="s">
        <v>152</v>
      </c>
      <c r="W56" s="5">
        <v>7711</v>
      </c>
    </row>
    <row r="57" spans="1:23" ht="15.75" x14ac:dyDescent="0.25">
      <c r="A57" s="3">
        <v>56</v>
      </c>
      <c r="B57" s="3" t="s">
        <v>16</v>
      </c>
      <c r="C57" s="3" t="s">
        <v>1</v>
      </c>
      <c r="D57" s="4" t="s">
        <v>193</v>
      </c>
      <c r="E57" s="3">
        <v>192</v>
      </c>
      <c r="F57" s="3">
        <v>99</v>
      </c>
      <c r="G57" s="3" t="s">
        <v>4</v>
      </c>
      <c r="H57" s="3" t="s">
        <v>2</v>
      </c>
      <c r="I57" s="3">
        <v>25</v>
      </c>
      <c r="J57" s="3" t="s">
        <v>43</v>
      </c>
      <c r="K57" s="3" t="s">
        <v>44</v>
      </c>
      <c r="L57" s="3" t="s">
        <v>53</v>
      </c>
      <c r="M57" s="3" t="s">
        <v>194</v>
      </c>
      <c r="N57" s="4" t="s">
        <v>195</v>
      </c>
      <c r="O57" s="4">
        <v>43801</v>
      </c>
      <c r="P57" s="3" t="s">
        <v>29</v>
      </c>
      <c r="Q57" s="3" t="s">
        <v>30</v>
      </c>
      <c r="R57" s="3" t="s">
        <v>32</v>
      </c>
      <c r="S57" s="3" t="s">
        <v>36</v>
      </c>
      <c r="T57" s="3" t="s">
        <v>44</v>
      </c>
      <c r="U57" s="3">
        <v>26.85546875</v>
      </c>
      <c r="V57" s="3" t="s">
        <v>152</v>
      </c>
      <c r="W57" s="5">
        <v>15380</v>
      </c>
    </row>
    <row r="58" spans="1:23" ht="15.75" x14ac:dyDescent="0.25">
      <c r="A58" s="3">
        <v>57</v>
      </c>
      <c r="B58" s="3" t="s">
        <v>17</v>
      </c>
      <c r="C58" s="3" t="s">
        <v>0</v>
      </c>
      <c r="D58" s="4" t="s">
        <v>196</v>
      </c>
      <c r="E58" s="3">
        <v>162</v>
      </c>
      <c r="F58" s="3">
        <v>93</v>
      </c>
      <c r="G58" s="3" t="s">
        <v>47</v>
      </c>
      <c r="H58" s="3" t="s">
        <v>2</v>
      </c>
      <c r="I58" s="3">
        <v>25</v>
      </c>
      <c r="J58" s="3" t="s">
        <v>43</v>
      </c>
      <c r="K58" s="3" t="s">
        <v>44</v>
      </c>
      <c r="L58" s="3" t="s">
        <v>53</v>
      </c>
      <c r="M58" s="3" t="s">
        <v>204</v>
      </c>
      <c r="N58" s="4" t="s">
        <v>197</v>
      </c>
      <c r="O58" s="4" t="s">
        <v>198</v>
      </c>
      <c r="P58" s="3" t="s">
        <v>29</v>
      </c>
      <c r="Q58" s="3" t="s">
        <v>30</v>
      </c>
      <c r="R58" s="3" t="s">
        <v>32</v>
      </c>
      <c r="S58" s="3" t="s">
        <v>36</v>
      </c>
      <c r="T58" s="3" t="s">
        <v>44</v>
      </c>
      <c r="U58" s="3">
        <v>35.436671239140367</v>
      </c>
      <c r="V58" s="3" t="s">
        <v>162</v>
      </c>
      <c r="W58" s="5">
        <v>15370</v>
      </c>
    </row>
    <row r="59" spans="1:23" ht="15.75" x14ac:dyDescent="0.25">
      <c r="A59" s="3">
        <v>58</v>
      </c>
      <c r="B59" s="3" t="s">
        <v>17</v>
      </c>
      <c r="C59" s="3" t="s">
        <v>0</v>
      </c>
      <c r="D59" s="4" t="s">
        <v>199</v>
      </c>
      <c r="E59" s="3">
        <v>162</v>
      </c>
      <c r="F59" s="3">
        <v>93</v>
      </c>
      <c r="G59" s="3" t="s">
        <v>47</v>
      </c>
      <c r="H59" s="3" t="s">
        <v>2</v>
      </c>
      <c r="I59" s="3">
        <v>25</v>
      </c>
      <c r="J59" s="3" t="s">
        <v>43</v>
      </c>
      <c r="K59" s="3" t="s">
        <v>44</v>
      </c>
      <c r="L59" s="3" t="s">
        <v>72</v>
      </c>
      <c r="M59" s="3" t="s">
        <v>200</v>
      </c>
      <c r="N59" s="4" t="s">
        <v>201</v>
      </c>
      <c r="O59" s="4" t="s">
        <v>202</v>
      </c>
      <c r="P59" s="3" t="s">
        <v>29</v>
      </c>
      <c r="Q59" s="3" t="s">
        <v>30</v>
      </c>
      <c r="R59" s="3" t="s">
        <v>32</v>
      </c>
      <c r="S59" s="3" t="s">
        <v>38</v>
      </c>
      <c r="T59" s="3" t="s">
        <v>44</v>
      </c>
      <c r="U59" s="3">
        <v>35.436671239140367</v>
      </c>
      <c r="V59" s="3" t="s">
        <v>162</v>
      </c>
      <c r="W59" s="5">
        <v>22675</v>
      </c>
    </row>
    <row r="60" spans="1:23" ht="15.75" x14ac:dyDescent="0.25">
      <c r="A60" s="3">
        <v>59</v>
      </c>
      <c r="B60" s="3" t="s">
        <v>16</v>
      </c>
      <c r="C60" s="3" t="s">
        <v>0</v>
      </c>
      <c r="D60" s="4" t="s">
        <v>205</v>
      </c>
      <c r="E60" s="3">
        <v>162</v>
      </c>
      <c r="F60" s="3">
        <v>65</v>
      </c>
      <c r="G60" s="3" t="s">
        <v>47</v>
      </c>
      <c r="H60" s="3" t="s">
        <v>2</v>
      </c>
      <c r="I60" s="3">
        <v>0</v>
      </c>
      <c r="J60" s="3" t="s">
        <v>43</v>
      </c>
      <c r="K60" s="3" t="s">
        <v>44</v>
      </c>
      <c r="L60" s="3" t="s">
        <v>53</v>
      </c>
      <c r="M60" s="3" t="s">
        <v>70</v>
      </c>
      <c r="N60" s="4">
        <v>43468</v>
      </c>
      <c r="O60" s="4">
        <v>43469</v>
      </c>
      <c r="P60" s="3" t="s">
        <v>29</v>
      </c>
      <c r="Q60" s="3" t="s">
        <v>30</v>
      </c>
      <c r="R60" s="3" t="s">
        <v>32</v>
      </c>
      <c r="S60" s="3" t="s">
        <v>38</v>
      </c>
      <c r="T60" s="3" t="s">
        <v>44</v>
      </c>
      <c r="U60" s="3">
        <v>24.767565919829291</v>
      </c>
      <c r="V60" s="3" t="s">
        <v>158</v>
      </c>
      <c r="W60" s="5">
        <v>10197</v>
      </c>
    </row>
    <row r="61" spans="1:23" ht="15.75" x14ac:dyDescent="0.25">
      <c r="A61" s="3">
        <v>60</v>
      </c>
      <c r="B61" s="3" t="s">
        <v>17</v>
      </c>
      <c r="C61" s="3" t="s">
        <v>1</v>
      </c>
      <c r="D61" s="4" t="s">
        <v>203</v>
      </c>
      <c r="E61" s="3">
        <v>162</v>
      </c>
      <c r="F61" s="3">
        <v>65</v>
      </c>
      <c r="G61" s="3" t="s">
        <v>2</v>
      </c>
      <c r="H61" s="3" t="s">
        <v>2</v>
      </c>
      <c r="I61" s="3">
        <v>0</v>
      </c>
      <c r="J61" s="3" t="s">
        <v>43</v>
      </c>
      <c r="K61" s="3" t="s">
        <v>44</v>
      </c>
      <c r="L61" s="3" t="s">
        <v>72</v>
      </c>
      <c r="M61" s="3" t="s">
        <v>206</v>
      </c>
      <c r="N61" s="4">
        <v>43468</v>
      </c>
      <c r="O61" s="4">
        <v>43469</v>
      </c>
      <c r="P61" s="3" t="s">
        <v>29</v>
      </c>
      <c r="Q61" s="3" t="s">
        <v>30</v>
      </c>
      <c r="R61" s="3" t="s">
        <v>32</v>
      </c>
      <c r="S61" s="3" t="s">
        <v>38</v>
      </c>
      <c r="T61" s="3" t="s">
        <v>44</v>
      </c>
      <c r="U61" s="3">
        <v>24.767565919829291</v>
      </c>
      <c r="V61" s="3" t="s">
        <v>158</v>
      </c>
      <c r="W61" s="5">
        <v>10257</v>
      </c>
    </row>
    <row r="62" spans="1:23" ht="15.75" x14ac:dyDescent="0.25">
      <c r="A62" s="3">
        <v>61</v>
      </c>
      <c r="B62" s="3" t="s">
        <v>16</v>
      </c>
      <c r="C62" s="3" t="s">
        <v>0</v>
      </c>
      <c r="D62" s="4">
        <v>37231</v>
      </c>
      <c r="E62" s="3">
        <v>187</v>
      </c>
      <c r="F62" s="3">
        <v>71</v>
      </c>
      <c r="G62" s="3" t="s">
        <v>47</v>
      </c>
      <c r="H62" s="3" t="s">
        <v>2</v>
      </c>
      <c r="I62" s="3">
        <v>0</v>
      </c>
      <c r="J62" s="3" t="s">
        <v>43</v>
      </c>
      <c r="K62" s="3" t="s">
        <v>44</v>
      </c>
      <c r="L62" s="3" t="s">
        <v>207</v>
      </c>
      <c r="M62" s="3" t="s">
        <v>190</v>
      </c>
      <c r="N62" s="4" t="s">
        <v>208</v>
      </c>
      <c r="O62" s="4" t="s">
        <v>57</v>
      </c>
      <c r="P62" s="3" t="s">
        <v>28</v>
      </c>
      <c r="Q62" s="3" t="s">
        <v>31</v>
      </c>
      <c r="R62" s="3" t="s">
        <v>35</v>
      </c>
      <c r="S62" s="3" t="s">
        <v>36</v>
      </c>
      <c r="T62" s="3" t="s">
        <v>44</v>
      </c>
      <c r="U62" s="3">
        <v>20.303697560696612</v>
      </c>
      <c r="V62" s="3" t="s">
        <v>158</v>
      </c>
      <c r="W62" s="5">
        <v>6861</v>
      </c>
    </row>
    <row r="63" spans="1:23" ht="15.75" x14ac:dyDescent="0.25">
      <c r="A63" s="3">
        <v>62</v>
      </c>
      <c r="B63" s="3" t="s">
        <v>16</v>
      </c>
      <c r="C63" s="3" t="s">
        <v>0</v>
      </c>
      <c r="D63" s="4">
        <v>37234</v>
      </c>
      <c r="E63" s="3">
        <v>187</v>
      </c>
      <c r="F63" s="3">
        <v>91</v>
      </c>
      <c r="G63" s="3" t="s">
        <v>47</v>
      </c>
      <c r="H63" s="3" t="s">
        <v>3</v>
      </c>
      <c r="I63" s="3">
        <v>20</v>
      </c>
      <c r="J63" s="3" t="s">
        <v>43</v>
      </c>
      <c r="K63" s="3" t="s">
        <v>44</v>
      </c>
      <c r="L63" s="3" t="s">
        <v>82</v>
      </c>
      <c r="M63" s="3" t="s">
        <v>117</v>
      </c>
      <c r="N63" s="4" t="s">
        <v>209</v>
      </c>
      <c r="O63" s="4" t="s">
        <v>57</v>
      </c>
      <c r="P63" s="3" t="s">
        <v>28</v>
      </c>
      <c r="Q63" s="3" t="s">
        <v>31</v>
      </c>
      <c r="R63" s="3" t="s">
        <v>35</v>
      </c>
      <c r="S63" s="3" t="s">
        <v>36</v>
      </c>
      <c r="T63" s="3" t="s">
        <v>44</v>
      </c>
      <c r="U63" s="3">
        <v>26.023048986244955</v>
      </c>
      <c r="V63" s="3" t="s">
        <v>152</v>
      </c>
      <c r="W63" s="5">
        <v>6769</v>
      </c>
    </row>
    <row r="64" spans="1:23" ht="15.75" x14ac:dyDescent="0.25">
      <c r="A64" s="3">
        <v>63</v>
      </c>
      <c r="B64" s="3" t="s">
        <v>16</v>
      </c>
      <c r="C64" s="3" t="s">
        <v>0</v>
      </c>
      <c r="D64" s="4">
        <v>36138</v>
      </c>
      <c r="E64" s="3">
        <v>187</v>
      </c>
      <c r="F64" s="3">
        <v>91</v>
      </c>
      <c r="G64" s="3" t="s">
        <v>47</v>
      </c>
      <c r="H64" s="3" t="s">
        <v>3</v>
      </c>
      <c r="I64" s="3">
        <v>20</v>
      </c>
      <c r="J64" s="3" t="s">
        <v>43</v>
      </c>
      <c r="K64" s="3" t="s">
        <v>44</v>
      </c>
      <c r="L64" s="3" t="s">
        <v>82</v>
      </c>
      <c r="M64" s="3" t="s">
        <v>117</v>
      </c>
      <c r="N64" s="4" t="s">
        <v>209</v>
      </c>
      <c r="O64" s="4" t="s">
        <v>57</v>
      </c>
      <c r="P64" s="3" t="s">
        <v>28</v>
      </c>
      <c r="Q64" s="3" t="s">
        <v>31</v>
      </c>
      <c r="R64" s="3" t="s">
        <v>35</v>
      </c>
      <c r="S64" s="3" t="s">
        <v>36</v>
      </c>
      <c r="T64" s="3" t="s">
        <v>45</v>
      </c>
      <c r="U64" s="3">
        <v>26.023048986244955</v>
      </c>
      <c r="V64" s="3" t="s">
        <v>152</v>
      </c>
      <c r="W64" s="5">
        <v>7865</v>
      </c>
    </row>
    <row r="65" spans="1:23" ht="15.75" x14ac:dyDescent="0.25">
      <c r="A65" s="3">
        <v>64</v>
      </c>
      <c r="B65" s="3" t="s">
        <v>16</v>
      </c>
      <c r="C65" s="3" t="s">
        <v>0</v>
      </c>
      <c r="D65" s="4">
        <v>36138</v>
      </c>
      <c r="E65" s="3">
        <v>187</v>
      </c>
      <c r="F65" s="3">
        <v>91</v>
      </c>
      <c r="G65" s="3" t="s">
        <v>47</v>
      </c>
      <c r="H65" s="3" t="s">
        <v>3</v>
      </c>
      <c r="I65" s="3">
        <v>20</v>
      </c>
      <c r="J65" s="3" t="s">
        <v>43</v>
      </c>
      <c r="K65" s="3" t="s">
        <v>44</v>
      </c>
      <c r="L65" s="3" t="s">
        <v>210</v>
      </c>
      <c r="M65" s="3" t="s">
        <v>83</v>
      </c>
      <c r="N65" s="4" t="s">
        <v>209</v>
      </c>
      <c r="O65" s="4" t="s">
        <v>57</v>
      </c>
      <c r="P65" s="3" t="s">
        <v>28</v>
      </c>
      <c r="Q65" s="3" t="s">
        <v>31</v>
      </c>
      <c r="R65" s="3" t="s">
        <v>35</v>
      </c>
      <c r="S65" s="3" t="s">
        <v>36</v>
      </c>
      <c r="T65" s="3" t="s">
        <v>45</v>
      </c>
      <c r="U65" s="3">
        <v>26.023048986244955</v>
      </c>
      <c r="V65" s="3" t="s">
        <v>152</v>
      </c>
      <c r="W65" s="5">
        <v>7865</v>
      </c>
    </row>
    <row r="66" spans="1:23" ht="15.75" x14ac:dyDescent="0.25">
      <c r="A66" s="3">
        <v>65</v>
      </c>
      <c r="B66" s="3" t="s">
        <v>16</v>
      </c>
      <c r="C66" s="3" t="s">
        <v>1</v>
      </c>
      <c r="D66" s="4">
        <v>36138</v>
      </c>
      <c r="E66" s="3">
        <v>187</v>
      </c>
      <c r="F66" s="3">
        <v>91</v>
      </c>
      <c r="G66" s="3" t="s">
        <v>3</v>
      </c>
      <c r="H66" s="3" t="s">
        <v>3</v>
      </c>
      <c r="I66" s="3">
        <v>20</v>
      </c>
      <c r="J66" s="3" t="s">
        <v>43</v>
      </c>
      <c r="K66" s="3" t="s">
        <v>44</v>
      </c>
      <c r="L66" s="3" t="s">
        <v>210</v>
      </c>
      <c r="M66" s="3" t="s">
        <v>83</v>
      </c>
      <c r="N66" s="4" t="s">
        <v>209</v>
      </c>
      <c r="O66" s="4" t="s">
        <v>57</v>
      </c>
      <c r="P66" s="3" t="s">
        <v>28</v>
      </c>
      <c r="Q66" s="3" t="s">
        <v>31</v>
      </c>
      <c r="R66" s="3" t="s">
        <v>35</v>
      </c>
      <c r="S66" s="3" t="s">
        <v>36</v>
      </c>
      <c r="T66" s="3" t="s">
        <v>42</v>
      </c>
      <c r="U66" s="3">
        <v>26.023048986244955</v>
      </c>
      <c r="V66" s="3" t="s">
        <v>152</v>
      </c>
      <c r="W66" s="5">
        <v>7865</v>
      </c>
    </row>
    <row r="67" spans="1:23" ht="15.75" x14ac:dyDescent="0.25">
      <c r="A67" s="3">
        <v>66</v>
      </c>
      <c r="B67" s="3" t="s">
        <v>16</v>
      </c>
      <c r="C67" s="3" t="s">
        <v>1</v>
      </c>
      <c r="D67" s="4" t="s">
        <v>211</v>
      </c>
      <c r="E67" s="3">
        <v>187</v>
      </c>
      <c r="F67" s="3">
        <v>91</v>
      </c>
      <c r="G67" s="3" t="s">
        <v>3</v>
      </c>
      <c r="H67" s="3" t="s">
        <v>3</v>
      </c>
      <c r="I67" s="3">
        <v>20</v>
      </c>
      <c r="J67" s="3" t="s">
        <v>43</v>
      </c>
      <c r="K67" s="3" t="s">
        <v>44</v>
      </c>
      <c r="L67" s="3" t="s">
        <v>210</v>
      </c>
      <c r="M67" s="3" t="s">
        <v>83</v>
      </c>
      <c r="N67" s="4" t="s">
        <v>209</v>
      </c>
      <c r="O67" s="4" t="s">
        <v>57</v>
      </c>
      <c r="P67" s="3" t="s">
        <v>28</v>
      </c>
      <c r="Q67" s="3" t="s">
        <v>30</v>
      </c>
      <c r="R67" s="3" t="s">
        <v>35</v>
      </c>
      <c r="S67" s="3" t="s">
        <v>41</v>
      </c>
      <c r="T67" s="3" t="s">
        <v>42</v>
      </c>
      <c r="U67" s="3">
        <v>26.023048986244955</v>
      </c>
      <c r="V67" s="3" t="s">
        <v>152</v>
      </c>
      <c r="W67" s="5">
        <v>7854</v>
      </c>
    </row>
    <row r="68" spans="1:23" ht="15.75" x14ac:dyDescent="0.25">
      <c r="A68" s="3">
        <v>67</v>
      </c>
      <c r="B68" s="3" t="s">
        <v>17</v>
      </c>
      <c r="C68" s="3" t="s">
        <v>1</v>
      </c>
      <c r="D68" s="4" t="s">
        <v>212</v>
      </c>
      <c r="E68" s="3">
        <v>187</v>
      </c>
      <c r="F68" s="3">
        <v>91</v>
      </c>
      <c r="G68" s="3" t="s">
        <v>3</v>
      </c>
      <c r="H68" s="3" t="s">
        <v>3</v>
      </c>
      <c r="I68" s="3">
        <v>20</v>
      </c>
      <c r="J68" s="3" t="s">
        <v>43</v>
      </c>
      <c r="K68" s="3" t="s">
        <v>44</v>
      </c>
      <c r="L68" s="3" t="s">
        <v>213</v>
      </c>
      <c r="M68" s="3" t="s">
        <v>214</v>
      </c>
      <c r="N68" s="4" t="s">
        <v>209</v>
      </c>
      <c r="O68" s="4" t="s">
        <v>57</v>
      </c>
      <c r="P68" s="3" t="s">
        <v>28</v>
      </c>
      <c r="Q68" s="3" t="s">
        <v>30</v>
      </c>
      <c r="R68" s="3" t="s">
        <v>35</v>
      </c>
      <c r="S68" s="3" t="s">
        <v>41</v>
      </c>
      <c r="T68" s="3" t="s">
        <v>42</v>
      </c>
      <c r="U68" s="3">
        <v>26.023048986244955</v>
      </c>
      <c r="V68" s="3" t="s">
        <v>152</v>
      </c>
      <c r="W68" s="5">
        <v>7856</v>
      </c>
    </row>
    <row r="69" spans="1:23" ht="15.75" x14ac:dyDescent="0.25">
      <c r="A69" s="3">
        <v>68</v>
      </c>
      <c r="B69" s="3" t="s">
        <v>17</v>
      </c>
      <c r="C69" s="3" t="s">
        <v>1</v>
      </c>
      <c r="D69" s="4" t="s">
        <v>212</v>
      </c>
      <c r="E69" s="3">
        <v>187</v>
      </c>
      <c r="F69" s="3">
        <v>91</v>
      </c>
      <c r="G69" s="3" t="s">
        <v>3</v>
      </c>
      <c r="H69" s="3" t="s">
        <v>3</v>
      </c>
      <c r="I69" s="3">
        <v>20</v>
      </c>
      <c r="J69" s="3" t="s">
        <v>43</v>
      </c>
      <c r="K69" s="3" t="s">
        <v>44</v>
      </c>
      <c r="L69" s="3" t="s">
        <v>111</v>
      </c>
      <c r="M69" s="3" t="s">
        <v>167</v>
      </c>
      <c r="N69" s="4" t="s">
        <v>209</v>
      </c>
      <c r="O69" s="4" t="s">
        <v>57</v>
      </c>
      <c r="P69" s="3" t="s">
        <v>28</v>
      </c>
      <c r="Q69" s="3" t="s">
        <v>30</v>
      </c>
      <c r="R69" s="3" t="s">
        <v>35</v>
      </c>
      <c r="S69" s="3" t="s">
        <v>41</v>
      </c>
      <c r="T69" s="3" t="s">
        <v>42</v>
      </c>
      <c r="U69" s="3">
        <v>26.023048986244955</v>
      </c>
      <c r="V69" s="3" t="s">
        <v>152</v>
      </c>
      <c r="W69" s="5">
        <v>7855</v>
      </c>
    </row>
    <row r="70" spans="1:23" ht="15.75" x14ac:dyDescent="0.25">
      <c r="A70" s="3">
        <v>69</v>
      </c>
      <c r="B70" s="3" t="s">
        <v>17</v>
      </c>
      <c r="C70" s="3" t="s">
        <v>1</v>
      </c>
      <c r="D70" s="4" t="s">
        <v>212</v>
      </c>
      <c r="E70" s="3">
        <v>187</v>
      </c>
      <c r="F70" s="3">
        <v>91</v>
      </c>
      <c r="G70" s="3" t="s">
        <v>3</v>
      </c>
      <c r="H70" s="3" t="s">
        <v>2</v>
      </c>
      <c r="I70" s="3">
        <v>20</v>
      </c>
      <c r="J70" s="3" t="s">
        <v>43</v>
      </c>
      <c r="K70" s="3" t="s">
        <v>44</v>
      </c>
      <c r="L70" s="3" t="s">
        <v>213</v>
      </c>
      <c r="M70" s="3" t="s">
        <v>215</v>
      </c>
      <c r="N70" s="4" t="s">
        <v>216</v>
      </c>
      <c r="O70" s="4" t="s">
        <v>65</v>
      </c>
      <c r="P70" s="3" t="s">
        <v>28</v>
      </c>
      <c r="Q70" s="3" t="s">
        <v>30</v>
      </c>
      <c r="R70" s="3" t="s">
        <v>32</v>
      </c>
      <c r="S70" s="3" t="s">
        <v>38</v>
      </c>
      <c r="T70" s="3" t="s">
        <v>42</v>
      </c>
      <c r="U70" s="3">
        <v>26.023048986244955</v>
      </c>
      <c r="V70" s="3" t="s">
        <v>152</v>
      </c>
      <c r="W70" s="5">
        <v>7855</v>
      </c>
    </row>
    <row r="71" spans="1:23" ht="15.75" x14ac:dyDescent="0.25">
      <c r="A71" s="3">
        <v>70</v>
      </c>
      <c r="B71" s="3" t="s">
        <v>17</v>
      </c>
      <c r="C71" s="3" t="s">
        <v>1</v>
      </c>
      <c r="D71" s="4" t="s">
        <v>217</v>
      </c>
      <c r="E71" s="3">
        <v>187</v>
      </c>
      <c r="F71" s="3">
        <v>61</v>
      </c>
      <c r="G71" s="3" t="s">
        <v>3</v>
      </c>
      <c r="H71" s="3" t="s">
        <v>2</v>
      </c>
      <c r="I71" s="3">
        <v>20</v>
      </c>
      <c r="J71" s="3" t="s">
        <v>43</v>
      </c>
      <c r="K71" s="3" t="s">
        <v>44</v>
      </c>
      <c r="L71" s="3" t="s">
        <v>213</v>
      </c>
      <c r="M71" s="3" t="s">
        <v>214</v>
      </c>
      <c r="N71" s="4" t="s">
        <v>216</v>
      </c>
      <c r="O71" s="4" t="s">
        <v>65</v>
      </c>
      <c r="P71" s="3" t="s">
        <v>28</v>
      </c>
      <c r="Q71" s="3" t="s">
        <v>30</v>
      </c>
      <c r="R71" s="3" t="s">
        <v>32</v>
      </c>
      <c r="S71" s="3" t="s">
        <v>41</v>
      </c>
      <c r="T71" s="3" t="s">
        <v>42</v>
      </c>
      <c r="U71" s="3">
        <v>17.444021847922443</v>
      </c>
      <c r="V71" s="3" t="s">
        <v>159</v>
      </c>
      <c r="W71" s="5">
        <v>25022</v>
      </c>
    </row>
    <row r="72" spans="1:23" ht="15.75" x14ac:dyDescent="0.25">
      <c r="A72" s="3">
        <v>71</v>
      </c>
      <c r="B72" s="3" t="s">
        <v>17</v>
      </c>
      <c r="C72" s="3" t="s">
        <v>1</v>
      </c>
      <c r="D72" s="4" t="s">
        <v>217</v>
      </c>
      <c r="E72" s="3">
        <v>187</v>
      </c>
      <c r="F72" s="3">
        <v>61</v>
      </c>
      <c r="G72" s="3" t="s">
        <v>3</v>
      </c>
      <c r="H72" s="3" t="s">
        <v>2</v>
      </c>
      <c r="I72" s="3">
        <v>20</v>
      </c>
      <c r="J72" s="3" t="s">
        <v>43</v>
      </c>
      <c r="K72" s="3" t="s">
        <v>44</v>
      </c>
      <c r="L72" s="3" t="s">
        <v>213</v>
      </c>
      <c r="M72" s="3" t="s">
        <v>214</v>
      </c>
      <c r="N72" s="4" t="s">
        <v>216</v>
      </c>
      <c r="O72" s="4" t="s">
        <v>65</v>
      </c>
      <c r="P72" s="3" t="s">
        <v>28</v>
      </c>
      <c r="Q72" s="3" t="s">
        <v>30</v>
      </c>
      <c r="R72" s="3" t="s">
        <v>32</v>
      </c>
      <c r="S72" s="3" t="s">
        <v>41</v>
      </c>
      <c r="T72" s="3" t="s">
        <v>42</v>
      </c>
      <c r="U72" s="3">
        <v>17.444021847922443</v>
      </c>
      <c r="V72" s="3" t="s">
        <v>159</v>
      </c>
      <c r="W72" s="5">
        <v>25022</v>
      </c>
    </row>
    <row r="73" spans="1:23" ht="15.75" x14ac:dyDescent="0.25">
      <c r="A73" s="3">
        <v>72</v>
      </c>
      <c r="B73" s="3" t="s">
        <v>17</v>
      </c>
      <c r="C73" s="3" t="s">
        <v>1</v>
      </c>
      <c r="D73" s="4" t="s">
        <v>218</v>
      </c>
      <c r="E73" s="3">
        <v>187</v>
      </c>
      <c r="F73" s="3">
        <v>61</v>
      </c>
      <c r="G73" s="3" t="s">
        <v>2</v>
      </c>
      <c r="H73" s="3" t="s">
        <v>2</v>
      </c>
      <c r="I73" s="3">
        <v>20</v>
      </c>
      <c r="J73" s="3" t="s">
        <v>43</v>
      </c>
      <c r="K73" s="3" t="s">
        <v>44</v>
      </c>
      <c r="L73" s="3" t="s">
        <v>213</v>
      </c>
      <c r="M73" s="3" t="s">
        <v>276</v>
      </c>
      <c r="N73" s="4" t="s">
        <v>216</v>
      </c>
      <c r="O73" s="4" t="s">
        <v>183</v>
      </c>
      <c r="P73" s="3" t="s">
        <v>28</v>
      </c>
      <c r="Q73" s="3" t="s">
        <v>30</v>
      </c>
      <c r="R73" s="3" t="s">
        <v>35</v>
      </c>
      <c r="S73" s="3" t="s">
        <v>41</v>
      </c>
      <c r="T73" s="3" t="s">
        <v>45</v>
      </c>
      <c r="U73" s="3">
        <v>17.444021847922443</v>
      </c>
      <c r="V73" s="3" t="s">
        <v>159</v>
      </c>
      <c r="W73" s="5">
        <v>12238</v>
      </c>
    </row>
    <row r="74" spans="1:23" ht="15.75" x14ac:dyDescent="0.25">
      <c r="A74" s="3">
        <v>73</v>
      </c>
      <c r="B74" s="3" t="s">
        <v>17</v>
      </c>
      <c r="C74" s="3" t="s">
        <v>1</v>
      </c>
      <c r="D74" s="4" t="s">
        <v>218</v>
      </c>
      <c r="E74" s="3">
        <v>195</v>
      </c>
      <c r="F74" s="3">
        <v>61</v>
      </c>
      <c r="G74" s="3" t="s">
        <v>2</v>
      </c>
      <c r="H74" s="3" t="s">
        <v>2</v>
      </c>
      <c r="I74" s="3">
        <v>26</v>
      </c>
      <c r="J74" s="3" t="s">
        <v>44</v>
      </c>
      <c r="K74" s="3" t="s">
        <v>44</v>
      </c>
      <c r="L74" s="3" t="s">
        <v>219</v>
      </c>
      <c r="M74" s="3" t="s">
        <v>276</v>
      </c>
      <c r="N74" s="4" t="s">
        <v>216</v>
      </c>
      <c r="O74" s="4" t="s">
        <v>183</v>
      </c>
      <c r="P74" s="3" t="s">
        <v>28</v>
      </c>
      <c r="Q74" s="3" t="s">
        <v>30</v>
      </c>
      <c r="R74" s="3" t="s">
        <v>35</v>
      </c>
      <c r="S74" s="3" t="s">
        <v>41</v>
      </c>
      <c r="T74" s="3" t="s">
        <v>45</v>
      </c>
      <c r="U74" s="3">
        <v>16.042077580539122</v>
      </c>
      <c r="V74" s="3" t="s">
        <v>262</v>
      </c>
      <c r="W74" s="5">
        <v>12238</v>
      </c>
    </row>
    <row r="75" spans="1:23" ht="15.75" x14ac:dyDescent="0.25">
      <c r="A75" s="3">
        <v>74</v>
      </c>
      <c r="B75" s="3" t="s">
        <v>16</v>
      </c>
      <c r="C75" s="3" t="s">
        <v>0</v>
      </c>
      <c r="D75" s="4" t="s">
        <v>220</v>
      </c>
      <c r="E75" s="3">
        <v>195</v>
      </c>
      <c r="F75" s="3">
        <v>87</v>
      </c>
      <c r="G75" s="3" t="s">
        <v>47</v>
      </c>
      <c r="H75" s="3" t="s">
        <v>2</v>
      </c>
      <c r="I75" s="3">
        <v>26</v>
      </c>
      <c r="J75" s="3" t="s">
        <v>43</v>
      </c>
      <c r="K75" s="3" t="s">
        <v>44</v>
      </c>
      <c r="L75" s="3" t="s">
        <v>69</v>
      </c>
      <c r="M75" s="3" t="s">
        <v>276</v>
      </c>
      <c r="N75" s="4" t="s">
        <v>221</v>
      </c>
      <c r="O75" s="4" t="s">
        <v>222</v>
      </c>
      <c r="P75" s="3" t="s">
        <v>28</v>
      </c>
      <c r="Q75" s="3" t="s">
        <v>31</v>
      </c>
      <c r="R75" s="3" t="s">
        <v>35</v>
      </c>
      <c r="S75" s="3" t="s">
        <v>37</v>
      </c>
      <c r="T75" s="3" t="s">
        <v>45</v>
      </c>
      <c r="U75" s="3">
        <v>22.87968441814596</v>
      </c>
      <c r="V75" s="3" t="s">
        <v>158</v>
      </c>
      <c r="W75" s="5">
        <v>9681</v>
      </c>
    </row>
    <row r="76" spans="1:23" ht="15.75" x14ac:dyDescent="0.25">
      <c r="A76" s="3">
        <v>75</v>
      </c>
      <c r="B76" s="3" t="s">
        <v>16</v>
      </c>
      <c r="C76" s="3" t="s">
        <v>1</v>
      </c>
      <c r="D76" s="4" t="s">
        <v>223</v>
      </c>
      <c r="E76" s="3">
        <v>195</v>
      </c>
      <c r="F76" s="3">
        <v>87</v>
      </c>
      <c r="G76" s="3" t="s">
        <v>3</v>
      </c>
      <c r="H76" s="3" t="s">
        <v>2</v>
      </c>
      <c r="I76" s="3">
        <v>26</v>
      </c>
      <c r="J76" s="3" t="s">
        <v>43</v>
      </c>
      <c r="K76" s="3" t="s">
        <v>44</v>
      </c>
      <c r="L76" s="3" t="s">
        <v>69</v>
      </c>
      <c r="M76" s="3" t="s">
        <v>276</v>
      </c>
      <c r="N76" s="4" t="s">
        <v>221</v>
      </c>
      <c r="O76" s="4" t="s">
        <v>222</v>
      </c>
      <c r="P76" s="3" t="s">
        <v>28</v>
      </c>
      <c r="Q76" s="3" t="s">
        <v>31</v>
      </c>
      <c r="R76" s="3" t="s">
        <v>35</v>
      </c>
      <c r="S76" s="3" t="s">
        <v>37</v>
      </c>
      <c r="T76" s="3" t="s">
        <v>45</v>
      </c>
      <c r="U76" s="3">
        <v>22.87968441814596</v>
      </c>
      <c r="V76" s="3" t="s">
        <v>158</v>
      </c>
      <c r="W76" s="5">
        <v>10777</v>
      </c>
    </row>
    <row r="77" spans="1:23" ht="15.75" x14ac:dyDescent="0.25">
      <c r="A77" s="3">
        <v>76</v>
      </c>
      <c r="B77" s="3" t="s">
        <v>16</v>
      </c>
      <c r="C77" s="3" t="s">
        <v>1</v>
      </c>
      <c r="D77" s="4" t="s">
        <v>223</v>
      </c>
      <c r="E77" s="3">
        <v>195</v>
      </c>
      <c r="F77" s="3">
        <v>87</v>
      </c>
      <c r="G77" s="3" t="s">
        <v>3</v>
      </c>
      <c r="H77" s="3" t="s">
        <v>2</v>
      </c>
      <c r="I77" s="3">
        <v>26</v>
      </c>
      <c r="J77" s="3" t="s">
        <v>43</v>
      </c>
      <c r="K77" s="3" t="s">
        <v>44</v>
      </c>
      <c r="L77" s="3" t="s">
        <v>224</v>
      </c>
      <c r="M77" s="3" t="s">
        <v>214</v>
      </c>
      <c r="N77" s="4" t="s">
        <v>221</v>
      </c>
      <c r="O77" s="4" t="s">
        <v>222</v>
      </c>
      <c r="P77" s="3" t="s">
        <v>29</v>
      </c>
      <c r="Q77" s="3" t="s">
        <v>31</v>
      </c>
      <c r="R77" s="3" t="s">
        <v>32</v>
      </c>
      <c r="S77" s="3" t="s">
        <v>38</v>
      </c>
      <c r="T77" s="3" t="s">
        <v>42</v>
      </c>
      <c r="U77" s="3">
        <v>22.87968441814596</v>
      </c>
      <c r="V77" s="3" t="s">
        <v>158</v>
      </c>
      <c r="W77" s="5">
        <v>10777</v>
      </c>
    </row>
    <row r="78" spans="1:23" ht="15.75" x14ac:dyDescent="0.25">
      <c r="A78" s="3">
        <v>77</v>
      </c>
      <c r="B78" s="3" t="s">
        <v>16</v>
      </c>
      <c r="C78" s="3" t="s">
        <v>1</v>
      </c>
      <c r="D78" s="4" t="s">
        <v>223</v>
      </c>
      <c r="E78" s="3">
        <v>156</v>
      </c>
      <c r="F78" s="3">
        <v>87</v>
      </c>
      <c r="G78" s="3" t="s">
        <v>3</v>
      </c>
      <c r="H78" s="3" t="s">
        <v>2</v>
      </c>
      <c r="I78" s="3">
        <v>0</v>
      </c>
      <c r="J78" s="3" t="s">
        <v>43</v>
      </c>
      <c r="K78" s="3" t="s">
        <v>44</v>
      </c>
      <c r="L78" s="3" t="s">
        <v>82</v>
      </c>
      <c r="M78" s="3" t="s">
        <v>214</v>
      </c>
      <c r="N78" s="4" t="s">
        <v>225</v>
      </c>
      <c r="O78" s="4" t="s">
        <v>65</v>
      </c>
      <c r="P78" s="3" t="s">
        <v>27</v>
      </c>
      <c r="Q78" s="3" t="s">
        <v>31</v>
      </c>
      <c r="R78" s="3" t="s">
        <v>35</v>
      </c>
      <c r="S78" s="3" t="s">
        <v>36</v>
      </c>
      <c r="T78" s="3" t="s">
        <v>45</v>
      </c>
      <c r="U78" s="3">
        <v>35.749506903353051</v>
      </c>
      <c r="V78" s="3" t="s">
        <v>162</v>
      </c>
      <c r="W78" s="5">
        <v>10777</v>
      </c>
    </row>
    <row r="79" spans="1:23" ht="15.75" x14ac:dyDescent="0.25">
      <c r="A79" s="3">
        <v>78</v>
      </c>
      <c r="B79" s="3" t="s">
        <v>16</v>
      </c>
      <c r="C79" s="3" t="s">
        <v>1</v>
      </c>
      <c r="D79" s="4" t="s">
        <v>223</v>
      </c>
      <c r="E79" s="3">
        <v>156</v>
      </c>
      <c r="F79" s="3">
        <v>80</v>
      </c>
      <c r="G79" s="3" t="s">
        <v>2</v>
      </c>
      <c r="H79" s="3" t="s">
        <v>2</v>
      </c>
      <c r="I79" s="3">
        <v>0</v>
      </c>
      <c r="J79" s="3" t="s">
        <v>43</v>
      </c>
      <c r="K79" s="3" t="s">
        <v>44</v>
      </c>
      <c r="L79" s="3" t="s">
        <v>82</v>
      </c>
      <c r="M79" s="3" t="s">
        <v>275</v>
      </c>
      <c r="N79" s="4" t="s">
        <v>225</v>
      </c>
      <c r="O79" s="4" t="s">
        <v>65</v>
      </c>
      <c r="P79" s="3" t="s">
        <v>27</v>
      </c>
      <c r="Q79" s="3" t="s">
        <v>31</v>
      </c>
      <c r="R79" s="3" t="s">
        <v>35</v>
      </c>
      <c r="S79" s="3" t="s">
        <v>36</v>
      </c>
      <c r="T79" s="3" t="s">
        <v>44</v>
      </c>
      <c r="U79" s="3">
        <v>32.873109796186718</v>
      </c>
      <c r="V79" s="3" t="s">
        <v>161</v>
      </c>
      <c r="W79" s="5">
        <v>10777</v>
      </c>
    </row>
    <row r="80" spans="1:23" ht="15.75" x14ac:dyDescent="0.25">
      <c r="A80" s="3">
        <v>79</v>
      </c>
      <c r="B80" s="3" t="s">
        <v>17</v>
      </c>
      <c r="C80" s="3" t="s">
        <v>1</v>
      </c>
      <c r="D80" s="4" t="s">
        <v>223</v>
      </c>
      <c r="E80" s="3">
        <v>156</v>
      </c>
      <c r="F80" s="3">
        <v>80</v>
      </c>
      <c r="G80" s="3" t="s">
        <v>3</v>
      </c>
      <c r="H80" s="3" t="s">
        <v>2</v>
      </c>
      <c r="I80" s="3">
        <v>30</v>
      </c>
      <c r="J80" s="3" t="s">
        <v>43</v>
      </c>
      <c r="K80" s="3" t="s">
        <v>44</v>
      </c>
      <c r="L80" s="3" t="s">
        <v>103</v>
      </c>
      <c r="M80" s="3" t="s">
        <v>83</v>
      </c>
      <c r="N80" s="4">
        <v>43477</v>
      </c>
      <c r="O80" s="4">
        <v>43628</v>
      </c>
      <c r="P80" s="3" t="s">
        <v>27</v>
      </c>
      <c r="Q80" s="3" t="s">
        <v>31</v>
      </c>
      <c r="R80" s="3" t="s">
        <v>35</v>
      </c>
      <c r="S80" s="3" t="s">
        <v>36</v>
      </c>
      <c r="T80" s="3" t="s">
        <v>44</v>
      </c>
      <c r="U80" s="3">
        <v>32.873109796186718</v>
      </c>
      <c r="V80" s="3" t="s">
        <v>161</v>
      </c>
      <c r="W80" s="5">
        <v>10777</v>
      </c>
    </row>
    <row r="81" spans="1:23" ht="15.75" x14ac:dyDescent="0.25">
      <c r="A81" s="3">
        <v>80</v>
      </c>
      <c r="B81" s="3" t="s">
        <v>16</v>
      </c>
      <c r="C81" s="3" t="s">
        <v>0</v>
      </c>
      <c r="D81" s="4" t="s">
        <v>223</v>
      </c>
      <c r="E81" s="3">
        <v>156</v>
      </c>
      <c r="F81" s="3">
        <v>80</v>
      </c>
      <c r="G81" s="3" t="s">
        <v>47</v>
      </c>
      <c r="H81" s="3" t="s">
        <v>3</v>
      </c>
      <c r="I81" s="3">
        <v>30</v>
      </c>
      <c r="J81" s="3" t="s">
        <v>43</v>
      </c>
      <c r="K81" s="3" t="s">
        <v>44</v>
      </c>
      <c r="L81" s="3" t="s">
        <v>140</v>
      </c>
      <c r="M81" s="3" t="s">
        <v>130</v>
      </c>
      <c r="N81" s="4">
        <v>43477</v>
      </c>
      <c r="O81" s="4">
        <v>43628</v>
      </c>
      <c r="P81" s="3" t="s">
        <v>28</v>
      </c>
      <c r="Q81" s="3" t="s">
        <v>31</v>
      </c>
      <c r="R81" s="3" t="s">
        <v>34</v>
      </c>
      <c r="S81" s="3" t="s">
        <v>37</v>
      </c>
      <c r="T81" s="3" t="s">
        <v>42</v>
      </c>
      <c r="U81" s="3">
        <v>32.873109796186718</v>
      </c>
      <c r="V81" s="3" t="s">
        <v>161</v>
      </c>
      <c r="W81" s="5">
        <v>10777</v>
      </c>
    </row>
    <row r="82" spans="1:23" ht="15.75" x14ac:dyDescent="0.25">
      <c r="A82" s="3">
        <v>81</v>
      </c>
      <c r="B82" s="3" t="s">
        <v>16</v>
      </c>
      <c r="C82" s="3" t="s">
        <v>0</v>
      </c>
      <c r="D82" s="4" t="s">
        <v>226</v>
      </c>
      <c r="E82" s="3">
        <v>156</v>
      </c>
      <c r="F82" s="3">
        <v>56</v>
      </c>
      <c r="G82" s="3" t="s">
        <v>47</v>
      </c>
      <c r="H82" s="3" t="s">
        <v>3</v>
      </c>
      <c r="I82" s="3">
        <v>33</v>
      </c>
      <c r="J82" s="3" t="s">
        <v>43</v>
      </c>
      <c r="K82" s="3" t="s">
        <v>44</v>
      </c>
      <c r="L82" s="3" t="s">
        <v>140</v>
      </c>
      <c r="M82" s="3" t="s">
        <v>130</v>
      </c>
      <c r="N82" s="4">
        <v>43477</v>
      </c>
      <c r="O82" s="4">
        <v>43628</v>
      </c>
      <c r="P82" s="3" t="s">
        <v>27</v>
      </c>
      <c r="Q82" s="3" t="s">
        <v>31</v>
      </c>
      <c r="R82" s="3" t="s">
        <v>34</v>
      </c>
      <c r="S82" s="3" t="s">
        <v>37</v>
      </c>
      <c r="T82" s="3" t="s">
        <v>42</v>
      </c>
      <c r="U82" s="3">
        <v>23.011176857330703</v>
      </c>
      <c r="V82" s="3" t="s">
        <v>158</v>
      </c>
      <c r="W82" s="5">
        <v>5298</v>
      </c>
    </row>
    <row r="83" spans="1:23" ht="15.75" x14ac:dyDescent="0.25">
      <c r="A83" s="3">
        <v>82</v>
      </c>
      <c r="B83" s="3" t="s">
        <v>16</v>
      </c>
      <c r="C83" s="3" t="s">
        <v>0</v>
      </c>
      <c r="D83" s="4" t="s">
        <v>226</v>
      </c>
      <c r="E83" s="3">
        <v>176</v>
      </c>
      <c r="F83" s="3">
        <v>40</v>
      </c>
      <c r="G83" s="3" t="s">
        <v>47</v>
      </c>
      <c r="H83" s="3" t="s">
        <v>3</v>
      </c>
      <c r="I83" s="3">
        <v>33</v>
      </c>
      <c r="J83" s="3" t="s">
        <v>43</v>
      </c>
      <c r="K83" s="3" t="s">
        <v>44</v>
      </c>
      <c r="L83" s="3" t="s">
        <v>140</v>
      </c>
      <c r="M83" s="3" t="s">
        <v>130</v>
      </c>
      <c r="N83" s="4">
        <v>43800</v>
      </c>
      <c r="O83" s="4">
        <v>43805</v>
      </c>
      <c r="P83" s="3" t="s">
        <v>29</v>
      </c>
      <c r="Q83" s="3" t="s">
        <v>31</v>
      </c>
      <c r="R83" s="3" t="s">
        <v>34</v>
      </c>
      <c r="S83" s="3" t="s">
        <v>39</v>
      </c>
      <c r="T83" s="3" t="s">
        <v>42</v>
      </c>
      <c r="U83" s="3">
        <v>12.913223140495868</v>
      </c>
      <c r="V83" s="3" t="s">
        <v>262</v>
      </c>
      <c r="W83" s="5">
        <v>5298</v>
      </c>
    </row>
    <row r="84" spans="1:23" ht="15.75" x14ac:dyDescent="0.25">
      <c r="A84" s="3">
        <v>83</v>
      </c>
      <c r="B84" s="3" t="s">
        <v>16</v>
      </c>
      <c r="C84" s="3" t="s">
        <v>0</v>
      </c>
      <c r="D84" s="4" t="s">
        <v>226</v>
      </c>
      <c r="E84" s="3">
        <v>195</v>
      </c>
      <c r="F84" s="3">
        <v>51</v>
      </c>
      <c r="G84" s="3" t="s">
        <v>47</v>
      </c>
      <c r="H84" s="3" t="s">
        <v>3</v>
      </c>
      <c r="I84" s="3">
        <v>3</v>
      </c>
      <c r="J84" s="3" t="s">
        <v>43</v>
      </c>
      <c r="K84" s="3" t="s">
        <v>44</v>
      </c>
      <c r="L84" s="3" t="s">
        <v>213</v>
      </c>
      <c r="M84" s="3" t="s">
        <v>130</v>
      </c>
      <c r="N84" s="4">
        <v>43435</v>
      </c>
      <c r="O84" s="4">
        <v>43440</v>
      </c>
      <c r="P84" s="3" t="s">
        <v>29</v>
      </c>
      <c r="Q84" s="3" t="s">
        <v>31</v>
      </c>
      <c r="R84" s="3" t="s">
        <v>34</v>
      </c>
      <c r="S84" s="3" t="s">
        <v>39</v>
      </c>
      <c r="T84" s="3" t="s">
        <v>42</v>
      </c>
      <c r="U84" s="3">
        <v>13.412228796844182</v>
      </c>
      <c r="V84" s="3" t="s">
        <v>262</v>
      </c>
      <c r="W84" s="5">
        <v>5298</v>
      </c>
    </row>
    <row r="85" spans="1:23" ht="15.75" x14ac:dyDescent="0.25">
      <c r="A85" s="3">
        <v>84</v>
      </c>
      <c r="B85" s="3" t="s">
        <v>17</v>
      </c>
      <c r="C85" s="3" t="s">
        <v>1</v>
      </c>
      <c r="D85" s="4" t="s">
        <v>226</v>
      </c>
      <c r="E85" s="3">
        <v>195</v>
      </c>
      <c r="F85" s="3">
        <v>51</v>
      </c>
      <c r="G85" s="3" t="s">
        <v>3</v>
      </c>
      <c r="H85" s="3" t="s">
        <v>2</v>
      </c>
      <c r="I85" s="3">
        <v>23</v>
      </c>
      <c r="J85" s="3" t="s">
        <v>43</v>
      </c>
      <c r="K85" s="3" t="s">
        <v>44</v>
      </c>
      <c r="L85" s="3" t="s">
        <v>111</v>
      </c>
      <c r="M85" s="3" t="s">
        <v>130</v>
      </c>
      <c r="N85" s="4">
        <v>43435</v>
      </c>
      <c r="O85" s="4">
        <v>43800</v>
      </c>
      <c r="P85" s="3" t="s">
        <v>28</v>
      </c>
      <c r="Q85" s="3" t="s">
        <v>31</v>
      </c>
      <c r="R85" s="3" t="s">
        <v>34</v>
      </c>
      <c r="S85" s="3" t="s">
        <v>39</v>
      </c>
      <c r="T85" s="3" t="s">
        <v>45</v>
      </c>
      <c r="U85" s="3">
        <v>13.412228796844182</v>
      </c>
      <c r="V85" s="3" t="s">
        <v>262</v>
      </c>
      <c r="W85" s="5">
        <v>5298</v>
      </c>
    </row>
    <row r="86" spans="1:23" ht="15.75" x14ac:dyDescent="0.25">
      <c r="A86" s="3">
        <v>85</v>
      </c>
      <c r="B86" s="3" t="s">
        <v>16</v>
      </c>
      <c r="C86" s="3" t="s">
        <v>0</v>
      </c>
      <c r="D86" s="4" t="s">
        <v>227</v>
      </c>
      <c r="E86" s="3">
        <v>185</v>
      </c>
      <c r="F86" s="3">
        <v>71</v>
      </c>
      <c r="G86" s="3" t="s">
        <v>47</v>
      </c>
      <c r="H86" s="3" t="s">
        <v>2</v>
      </c>
      <c r="I86" s="3">
        <v>2</v>
      </c>
      <c r="J86" s="3" t="s">
        <v>43</v>
      </c>
      <c r="K86" s="3" t="s">
        <v>44</v>
      </c>
      <c r="L86" s="3" t="s">
        <v>228</v>
      </c>
      <c r="M86" s="3" t="s">
        <v>67</v>
      </c>
      <c r="N86" s="4">
        <v>43477</v>
      </c>
      <c r="O86" s="4">
        <v>43842</v>
      </c>
      <c r="P86" s="3" t="s">
        <v>28</v>
      </c>
      <c r="Q86" s="3" t="s">
        <v>31</v>
      </c>
      <c r="R86" s="3" t="s">
        <v>33</v>
      </c>
      <c r="S86" s="3" t="s">
        <v>36</v>
      </c>
      <c r="T86" s="3" t="s">
        <v>42</v>
      </c>
      <c r="U86" s="3">
        <v>20.74506939371804</v>
      </c>
      <c r="V86" s="3" t="s">
        <v>158</v>
      </c>
      <c r="W86" s="5">
        <v>1646</v>
      </c>
    </row>
    <row r="87" spans="1:23" ht="15.75" x14ac:dyDescent="0.25">
      <c r="A87" s="3">
        <v>86</v>
      </c>
      <c r="B87" s="3" t="s">
        <v>17</v>
      </c>
      <c r="C87" s="3" t="s">
        <v>0</v>
      </c>
      <c r="D87" s="4" t="s">
        <v>229</v>
      </c>
      <c r="E87" s="3">
        <v>155</v>
      </c>
      <c r="F87" s="3">
        <v>71</v>
      </c>
      <c r="G87" s="3" t="s">
        <v>47</v>
      </c>
      <c r="H87" s="3" t="s">
        <v>2</v>
      </c>
      <c r="I87" s="3">
        <v>26</v>
      </c>
      <c r="J87" s="3" t="s">
        <v>44</v>
      </c>
      <c r="K87" s="3" t="s">
        <v>44</v>
      </c>
      <c r="L87" s="3" t="s">
        <v>228</v>
      </c>
      <c r="M87" s="3" t="s">
        <v>67</v>
      </c>
      <c r="N87" s="4">
        <v>43781</v>
      </c>
      <c r="O87" s="4" t="s">
        <v>230</v>
      </c>
      <c r="P87" s="3" t="s">
        <v>28</v>
      </c>
      <c r="Q87" s="3" t="s">
        <v>31</v>
      </c>
      <c r="R87" s="3" t="s">
        <v>33</v>
      </c>
      <c r="S87" s="3" t="s">
        <v>36</v>
      </c>
      <c r="T87" s="3" t="s">
        <v>42</v>
      </c>
      <c r="U87" s="3">
        <v>29.552549427679498</v>
      </c>
      <c r="V87" s="3" t="s">
        <v>152</v>
      </c>
      <c r="W87" s="5">
        <v>7124</v>
      </c>
    </row>
    <row r="88" spans="1:23" ht="15.75" x14ac:dyDescent="0.25">
      <c r="A88" s="3">
        <v>87</v>
      </c>
      <c r="B88" s="3" t="s">
        <v>16</v>
      </c>
      <c r="C88" s="3" t="s">
        <v>1</v>
      </c>
      <c r="D88" s="4" t="s">
        <v>231</v>
      </c>
      <c r="E88" s="3">
        <v>155</v>
      </c>
      <c r="F88" s="3">
        <v>71</v>
      </c>
      <c r="G88" s="3" t="s">
        <v>3</v>
      </c>
      <c r="H88" s="3" t="s">
        <v>2</v>
      </c>
      <c r="I88" s="3">
        <v>6</v>
      </c>
      <c r="J88" s="3" t="s">
        <v>43</v>
      </c>
      <c r="K88" s="3" t="s">
        <v>44</v>
      </c>
      <c r="L88" s="3" t="s">
        <v>278</v>
      </c>
      <c r="M88" s="3" t="s">
        <v>232</v>
      </c>
      <c r="N88" s="4">
        <v>43781</v>
      </c>
      <c r="O88" s="4" t="s">
        <v>230</v>
      </c>
      <c r="P88" s="3" t="s">
        <v>28</v>
      </c>
      <c r="Q88" s="3" t="s">
        <v>31</v>
      </c>
      <c r="R88" s="3" t="s">
        <v>34</v>
      </c>
      <c r="S88" s="3" t="s">
        <v>36</v>
      </c>
      <c r="T88" s="3" t="s">
        <v>45</v>
      </c>
      <c r="U88" s="3">
        <v>29.552549427679498</v>
      </c>
      <c r="V88" s="3" t="s">
        <v>152</v>
      </c>
      <c r="W88" s="5">
        <v>8951</v>
      </c>
    </row>
    <row r="89" spans="1:23" ht="15.75" x14ac:dyDescent="0.25">
      <c r="A89" s="3">
        <v>88</v>
      </c>
      <c r="B89" s="3" t="s">
        <v>16</v>
      </c>
      <c r="C89" s="3" t="s">
        <v>1</v>
      </c>
      <c r="D89" s="4" t="s">
        <v>217</v>
      </c>
      <c r="E89" s="3">
        <v>165</v>
      </c>
      <c r="F89" s="3">
        <v>71</v>
      </c>
      <c r="G89" s="3" t="s">
        <v>3</v>
      </c>
      <c r="H89" s="3" t="s">
        <v>2</v>
      </c>
      <c r="I89" s="3">
        <v>6</v>
      </c>
      <c r="J89" s="3" t="s">
        <v>43</v>
      </c>
      <c r="K89" s="3" t="s">
        <v>44</v>
      </c>
      <c r="L89" s="3" t="s">
        <v>53</v>
      </c>
      <c r="M89" s="3" t="s">
        <v>233</v>
      </c>
      <c r="N89" s="4">
        <v>43781</v>
      </c>
      <c r="O89" s="4" t="s">
        <v>234</v>
      </c>
      <c r="P89" s="3" t="s">
        <v>29</v>
      </c>
      <c r="Q89" s="3" t="s">
        <v>31</v>
      </c>
      <c r="R89" s="3" t="s">
        <v>32</v>
      </c>
      <c r="S89" s="3" t="s">
        <v>38</v>
      </c>
      <c r="T89" s="3" t="s">
        <v>45</v>
      </c>
      <c r="U89" s="3">
        <v>26.078971533516981</v>
      </c>
      <c r="V89" s="3" t="s">
        <v>152</v>
      </c>
      <c r="W89" s="5">
        <v>25022</v>
      </c>
    </row>
    <row r="90" spans="1:23" ht="15.75" x14ac:dyDescent="0.25">
      <c r="A90" s="3">
        <v>89</v>
      </c>
      <c r="B90" s="3" t="s">
        <v>16</v>
      </c>
      <c r="C90" s="3" t="s">
        <v>0</v>
      </c>
      <c r="D90" s="4" t="s">
        <v>235</v>
      </c>
      <c r="E90" s="3">
        <v>165</v>
      </c>
      <c r="F90" s="3">
        <v>81</v>
      </c>
      <c r="G90" s="3" t="s">
        <v>47</v>
      </c>
      <c r="H90" s="3" t="s">
        <v>2</v>
      </c>
      <c r="I90" s="3">
        <v>16</v>
      </c>
      <c r="J90" s="3" t="s">
        <v>44</v>
      </c>
      <c r="K90" s="3" t="s">
        <v>44</v>
      </c>
      <c r="L90" s="3" t="s">
        <v>236</v>
      </c>
      <c r="M90" s="3" t="s">
        <v>237</v>
      </c>
      <c r="N90" s="4">
        <v>43781</v>
      </c>
      <c r="O90" s="4" t="s">
        <v>234</v>
      </c>
      <c r="P90" s="3" t="s">
        <v>27</v>
      </c>
      <c r="Q90" s="3" t="s">
        <v>31</v>
      </c>
      <c r="R90" s="3" t="s">
        <v>33</v>
      </c>
      <c r="S90" s="3" t="s">
        <v>36</v>
      </c>
      <c r="T90" s="3" t="s">
        <v>42</v>
      </c>
      <c r="U90" s="3">
        <v>29.752066115702473</v>
      </c>
      <c r="V90" s="3" t="s">
        <v>152</v>
      </c>
      <c r="W90" s="5">
        <v>14064</v>
      </c>
    </row>
    <row r="91" spans="1:23" ht="15.75" x14ac:dyDescent="0.25">
      <c r="A91" s="3">
        <v>90</v>
      </c>
      <c r="B91" s="3" t="s">
        <v>17</v>
      </c>
      <c r="C91" s="3" t="s">
        <v>0</v>
      </c>
      <c r="D91" s="4" t="s">
        <v>238</v>
      </c>
      <c r="E91" s="3">
        <v>175</v>
      </c>
      <c r="F91" s="3">
        <v>91</v>
      </c>
      <c r="G91" s="3" t="s">
        <v>47</v>
      </c>
      <c r="H91" s="3" t="s">
        <v>2</v>
      </c>
      <c r="I91" s="3">
        <v>6</v>
      </c>
      <c r="J91" s="3" t="s">
        <v>44</v>
      </c>
      <c r="K91" s="3" t="s">
        <v>44</v>
      </c>
      <c r="L91" s="3" t="s">
        <v>72</v>
      </c>
      <c r="M91" s="3" t="s">
        <v>239</v>
      </c>
      <c r="N91" s="4">
        <v>43781</v>
      </c>
      <c r="O91" s="4" t="s">
        <v>234</v>
      </c>
      <c r="P91" s="3" t="s">
        <v>28</v>
      </c>
      <c r="Q91" s="3" t="s">
        <v>31</v>
      </c>
      <c r="R91" s="3" t="s">
        <v>33</v>
      </c>
      <c r="S91" s="3" t="s">
        <v>36</v>
      </c>
      <c r="T91" s="3" t="s">
        <v>44</v>
      </c>
      <c r="U91" s="3">
        <v>29.714285714285715</v>
      </c>
      <c r="V91" s="3" t="s">
        <v>152</v>
      </c>
      <c r="W91" s="5">
        <v>10381</v>
      </c>
    </row>
    <row r="92" spans="1:23" ht="15.75" x14ac:dyDescent="0.25">
      <c r="A92" s="3">
        <v>91</v>
      </c>
      <c r="B92" s="3" t="s">
        <v>17</v>
      </c>
      <c r="C92" s="3" t="s">
        <v>0</v>
      </c>
      <c r="D92" s="4" t="s">
        <v>238</v>
      </c>
      <c r="E92" s="3">
        <v>160</v>
      </c>
      <c r="F92" s="3">
        <v>91</v>
      </c>
      <c r="G92" s="3" t="s">
        <v>47</v>
      </c>
      <c r="H92" s="3" t="s">
        <v>2</v>
      </c>
      <c r="I92" s="3">
        <v>0</v>
      </c>
      <c r="J92" s="3" t="s">
        <v>43</v>
      </c>
      <c r="K92" s="3" t="s">
        <v>44</v>
      </c>
      <c r="L92" s="3" t="s">
        <v>240</v>
      </c>
      <c r="M92" s="3" t="s">
        <v>241</v>
      </c>
      <c r="N92" s="4">
        <v>43781</v>
      </c>
      <c r="O92" s="4" t="s">
        <v>234</v>
      </c>
      <c r="P92" s="3" t="s">
        <v>29</v>
      </c>
      <c r="Q92" s="3" t="s">
        <v>30</v>
      </c>
      <c r="R92" s="3" t="s">
        <v>32</v>
      </c>
      <c r="S92" s="3" t="s">
        <v>39</v>
      </c>
      <c r="T92" s="3" t="s">
        <v>44</v>
      </c>
      <c r="U92" s="3">
        <v>35.546874999999993</v>
      </c>
      <c r="V92" s="3" t="s">
        <v>162</v>
      </c>
      <c r="W92" s="5">
        <v>10381</v>
      </c>
    </row>
    <row r="93" spans="1:23" ht="15.75" x14ac:dyDescent="0.25">
      <c r="A93" s="3">
        <v>92</v>
      </c>
      <c r="B93" s="3" t="s">
        <v>16</v>
      </c>
      <c r="C93" s="3" t="s">
        <v>0</v>
      </c>
      <c r="D93" s="4" t="s">
        <v>242</v>
      </c>
      <c r="E93" s="3">
        <v>173</v>
      </c>
      <c r="F93" s="3">
        <v>72</v>
      </c>
      <c r="G93" s="3" t="s">
        <v>47</v>
      </c>
      <c r="H93" s="3" t="s">
        <v>2</v>
      </c>
      <c r="I93" s="3">
        <v>0</v>
      </c>
      <c r="J93" s="3" t="s">
        <v>43</v>
      </c>
      <c r="K93" s="3" t="s">
        <v>44</v>
      </c>
      <c r="L93" s="3" t="s">
        <v>240</v>
      </c>
      <c r="M93" s="3" t="s">
        <v>241</v>
      </c>
      <c r="N93" s="4">
        <v>43778</v>
      </c>
      <c r="O93" s="4" t="s">
        <v>243</v>
      </c>
      <c r="P93" s="3" t="s">
        <v>244</v>
      </c>
      <c r="Q93" s="3" t="s">
        <v>30</v>
      </c>
      <c r="R93" s="3" t="s">
        <v>34</v>
      </c>
      <c r="S93" s="3" t="s">
        <v>39</v>
      </c>
      <c r="T93" s="3" t="s">
        <v>45</v>
      </c>
      <c r="U93" s="3">
        <v>24.056934745564501</v>
      </c>
      <c r="V93" s="3" t="s">
        <v>158</v>
      </c>
      <c r="W93" s="5">
        <v>25843</v>
      </c>
    </row>
    <row r="94" spans="1:23" ht="15.75" x14ac:dyDescent="0.25">
      <c r="A94" s="3">
        <v>93</v>
      </c>
      <c r="B94" s="3" t="s">
        <v>17</v>
      </c>
      <c r="C94" s="3" t="s">
        <v>1</v>
      </c>
      <c r="D94" s="4">
        <v>34464</v>
      </c>
      <c r="E94" s="3">
        <v>187</v>
      </c>
      <c r="F94" s="3">
        <v>59</v>
      </c>
      <c r="G94" s="3" t="s">
        <v>3</v>
      </c>
      <c r="H94" s="3" t="s">
        <v>3</v>
      </c>
      <c r="I94" s="3">
        <v>18</v>
      </c>
      <c r="J94" s="3" t="s">
        <v>43</v>
      </c>
      <c r="K94" s="3" t="s">
        <v>44</v>
      </c>
      <c r="L94" s="3" t="s">
        <v>154</v>
      </c>
      <c r="M94" s="3" t="s">
        <v>245</v>
      </c>
      <c r="N94" s="4" t="s">
        <v>246</v>
      </c>
      <c r="O94" s="4" t="s">
        <v>105</v>
      </c>
      <c r="P94" s="3" t="s">
        <v>28</v>
      </c>
      <c r="Q94" s="3" t="s">
        <v>31</v>
      </c>
      <c r="R94" s="3" t="s">
        <v>33</v>
      </c>
      <c r="S94" s="3" t="s">
        <v>41</v>
      </c>
      <c r="T94" s="3" t="s">
        <v>42</v>
      </c>
      <c r="U94" s="3">
        <v>16.872086705367607</v>
      </c>
      <c r="V94" s="3" t="s">
        <v>159</v>
      </c>
      <c r="W94" s="5">
        <v>9303</v>
      </c>
    </row>
    <row r="95" spans="1:23" ht="15.75" x14ac:dyDescent="0.25">
      <c r="A95" s="3">
        <v>94</v>
      </c>
      <c r="B95" s="3" t="s">
        <v>16</v>
      </c>
      <c r="C95" s="3" t="s">
        <v>1</v>
      </c>
      <c r="D95" s="4">
        <v>30873</v>
      </c>
      <c r="E95" s="3">
        <v>180</v>
      </c>
      <c r="F95" s="3">
        <v>91</v>
      </c>
      <c r="G95" s="3" t="s">
        <v>3</v>
      </c>
      <c r="H95" s="3" t="s">
        <v>3</v>
      </c>
      <c r="I95" s="3">
        <v>8</v>
      </c>
      <c r="J95" s="3" t="s">
        <v>43</v>
      </c>
      <c r="K95" s="3" t="s">
        <v>44</v>
      </c>
      <c r="L95" s="3" t="s">
        <v>154</v>
      </c>
      <c r="M95" s="3" t="s">
        <v>247</v>
      </c>
      <c r="N95" s="4">
        <v>43742</v>
      </c>
      <c r="O95" s="4" t="s">
        <v>248</v>
      </c>
      <c r="P95" s="3" t="s">
        <v>29</v>
      </c>
      <c r="Q95" s="3" t="s">
        <v>30</v>
      </c>
      <c r="R95" s="3" t="s">
        <v>34</v>
      </c>
      <c r="S95" s="3" t="s">
        <v>39</v>
      </c>
      <c r="T95" s="3" t="s">
        <v>42</v>
      </c>
      <c r="U95" s="3">
        <v>28.086419753086417</v>
      </c>
      <c r="V95" s="3" t="s">
        <v>152</v>
      </c>
      <c r="W95" s="5">
        <v>12953</v>
      </c>
    </row>
    <row r="96" spans="1:23" ht="15.75" x14ac:dyDescent="0.25">
      <c r="A96" s="3">
        <v>95</v>
      </c>
      <c r="B96" s="3" t="s">
        <v>16</v>
      </c>
      <c r="C96" s="3" t="s">
        <v>1</v>
      </c>
      <c r="D96" s="4">
        <v>36443</v>
      </c>
      <c r="E96" s="3">
        <v>180</v>
      </c>
      <c r="F96" s="3">
        <v>54</v>
      </c>
      <c r="G96" s="3" t="s">
        <v>3</v>
      </c>
      <c r="H96" s="3" t="s">
        <v>3</v>
      </c>
      <c r="I96" s="3">
        <v>0</v>
      </c>
      <c r="J96" s="3" t="s">
        <v>43</v>
      </c>
      <c r="K96" s="3" t="s">
        <v>44</v>
      </c>
      <c r="L96" s="3" t="s">
        <v>249</v>
      </c>
      <c r="M96" s="3" t="s">
        <v>98</v>
      </c>
      <c r="N96" s="4">
        <v>43745</v>
      </c>
      <c r="O96" s="4" t="s">
        <v>250</v>
      </c>
      <c r="P96" s="3" t="s">
        <v>28</v>
      </c>
      <c r="Q96" s="3" t="s">
        <v>31</v>
      </c>
      <c r="R96" s="3" t="s">
        <v>33</v>
      </c>
      <c r="S96" s="3" t="s">
        <v>36</v>
      </c>
      <c r="T96" s="3" t="s">
        <v>44</v>
      </c>
      <c r="U96" s="3">
        <v>16.666666666666664</v>
      </c>
      <c r="V96" s="3" t="s">
        <v>159</v>
      </c>
      <c r="W96" s="5">
        <v>7472</v>
      </c>
    </row>
    <row r="97" spans="1:23" ht="15.75" x14ac:dyDescent="0.25">
      <c r="A97" s="3">
        <v>96</v>
      </c>
      <c r="B97" s="3" t="s">
        <v>16</v>
      </c>
      <c r="C97" s="3" t="s">
        <v>1</v>
      </c>
      <c r="D97" s="4">
        <v>20646</v>
      </c>
      <c r="E97" s="3">
        <v>180</v>
      </c>
      <c r="F97" s="3">
        <v>84</v>
      </c>
      <c r="G97" s="3" t="s">
        <v>3</v>
      </c>
      <c r="H97" s="3" t="s">
        <v>3</v>
      </c>
      <c r="I97" s="3">
        <v>30</v>
      </c>
      <c r="J97" s="3" t="s">
        <v>43</v>
      </c>
      <c r="K97" s="3" t="s">
        <v>44</v>
      </c>
      <c r="L97" s="3" t="s">
        <v>100</v>
      </c>
      <c r="M97" s="3" t="s">
        <v>141</v>
      </c>
      <c r="N97" s="4">
        <v>43746</v>
      </c>
      <c r="O97" s="4">
        <v>43807</v>
      </c>
      <c r="P97" s="3" t="s">
        <v>27</v>
      </c>
      <c r="Q97" s="3" t="s">
        <v>31</v>
      </c>
      <c r="R97" s="3" t="s">
        <v>33</v>
      </c>
      <c r="S97" s="3" t="s">
        <v>36</v>
      </c>
      <c r="T97" s="3" t="s">
        <v>44</v>
      </c>
      <c r="U97" s="3">
        <v>25.925925925925924</v>
      </c>
      <c r="V97" s="3" t="s">
        <v>152</v>
      </c>
      <c r="W97" s="5">
        <v>23180</v>
      </c>
    </row>
    <row r="98" spans="1:23" ht="15.75" x14ac:dyDescent="0.25">
      <c r="A98" s="3">
        <v>97</v>
      </c>
      <c r="B98" s="3" t="s">
        <v>16</v>
      </c>
      <c r="C98" s="3" t="s">
        <v>1</v>
      </c>
      <c r="D98" s="4">
        <v>20646</v>
      </c>
      <c r="E98" s="3">
        <v>180</v>
      </c>
      <c r="F98" s="3">
        <v>84</v>
      </c>
      <c r="G98" s="3" t="s">
        <v>3</v>
      </c>
      <c r="H98" s="3" t="s">
        <v>3</v>
      </c>
      <c r="I98" s="3">
        <v>0</v>
      </c>
      <c r="J98" s="3" t="s">
        <v>43</v>
      </c>
      <c r="K98" s="3" t="s">
        <v>44</v>
      </c>
      <c r="L98" s="3" t="s">
        <v>251</v>
      </c>
      <c r="M98" s="3" t="s">
        <v>252</v>
      </c>
      <c r="N98" s="4">
        <v>43777</v>
      </c>
      <c r="O98" s="4" t="s">
        <v>253</v>
      </c>
      <c r="P98" s="3" t="s">
        <v>29</v>
      </c>
      <c r="Q98" s="3" t="s">
        <v>30</v>
      </c>
      <c r="R98" s="3" t="s">
        <v>32</v>
      </c>
      <c r="S98" s="3" t="s">
        <v>38</v>
      </c>
      <c r="T98" s="3" t="s">
        <v>42</v>
      </c>
      <c r="U98" s="3">
        <v>25.925925925925924</v>
      </c>
      <c r="V98" s="3" t="s">
        <v>152</v>
      </c>
      <c r="W98" s="5">
        <v>23180</v>
      </c>
    </row>
    <row r="99" spans="1:23" ht="15.75" x14ac:dyDescent="0.25">
      <c r="A99" s="3">
        <v>98</v>
      </c>
      <c r="B99" s="3" t="s">
        <v>17</v>
      </c>
      <c r="C99" s="3" t="s">
        <v>1</v>
      </c>
      <c r="D99" s="4">
        <v>35986</v>
      </c>
      <c r="E99" s="3">
        <v>165</v>
      </c>
      <c r="F99" s="3">
        <v>86</v>
      </c>
      <c r="G99" s="3" t="s">
        <v>3</v>
      </c>
      <c r="H99" s="3" t="s">
        <v>3</v>
      </c>
      <c r="I99" s="3">
        <v>30</v>
      </c>
      <c r="J99" s="3" t="s">
        <v>44</v>
      </c>
      <c r="K99" s="3" t="s">
        <v>44</v>
      </c>
      <c r="L99" s="3" t="s">
        <v>254</v>
      </c>
      <c r="M99" s="3" t="s">
        <v>255</v>
      </c>
      <c r="N99" s="4" t="s">
        <v>256</v>
      </c>
      <c r="O99" s="4" t="s">
        <v>257</v>
      </c>
      <c r="P99" s="3" t="s">
        <v>27</v>
      </c>
      <c r="Q99" s="3" t="s">
        <v>31</v>
      </c>
      <c r="R99" s="3" t="s">
        <v>33</v>
      </c>
      <c r="S99" s="3" t="s">
        <v>36</v>
      </c>
      <c r="T99" s="3" t="s">
        <v>44</v>
      </c>
      <c r="U99" s="3">
        <v>31.588613406795218</v>
      </c>
      <c r="V99" s="3" t="s">
        <v>161</v>
      </c>
      <c r="W99" s="5">
        <v>7840</v>
      </c>
    </row>
    <row r="100" spans="1:23" ht="15.75" x14ac:dyDescent="0.25">
      <c r="A100" s="3">
        <v>99</v>
      </c>
      <c r="B100" s="3" t="s">
        <v>17</v>
      </c>
      <c r="C100" s="3" t="s">
        <v>0</v>
      </c>
      <c r="D100" s="4">
        <v>35986</v>
      </c>
      <c r="E100" s="3">
        <v>165</v>
      </c>
      <c r="F100" s="3">
        <v>61</v>
      </c>
      <c r="G100" s="3" t="s">
        <v>47</v>
      </c>
      <c r="H100" s="3" t="s">
        <v>3</v>
      </c>
      <c r="I100" s="3">
        <v>34</v>
      </c>
      <c r="J100" s="3" t="s">
        <v>43</v>
      </c>
      <c r="K100" s="3" t="s">
        <v>44</v>
      </c>
      <c r="L100" s="3" t="s">
        <v>137</v>
      </c>
      <c r="M100" s="3" t="s">
        <v>232</v>
      </c>
      <c r="N100" s="3" t="s">
        <v>258</v>
      </c>
      <c r="O100" s="3" t="s">
        <v>115</v>
      </c>
      <c r="P100" s="3" t="s">
        <v>29</v>
      </c>
      <c r="Q100" s="3" t="s">
        <v>30</v>
      </c>
      <c r="R100" s="3" t="s">
        <v>32</v>
      </c>
      <c r="S100" s="3" t="s">
        <v>40</v>
      </c>
      <c r="T100" s="3" t="s">
        <v>44</v>
      </c>
      <c r="U100" s="3">
        <v>22.405876951331493</v>
      </c>
      <c r="V100" s="3" t="s">
        <v>158</v>
      </c>
      <c r="W100" s="5">
        <v>7840</v>
      </c>
    </row>
    <row r="101" spans="1:23" ht="15.75" x14ac:dyDescent="0.25">
      <c r="A101" s="3">
        <v>100</v>
      </c>
      <c r="B101" s="3" t="s">
        <v>17</v>
      </c>
      <c r="C101" s="3" t="s">
        <v>0</v>
      </c>
      <c r="D101" s="4">
        <v>34160</v>
      </c>
      <c r="E101" s="3">
        <v>117</v>
      </c>
      <c r="F101" s="3">
        <v>116</v>
      </c>
      <c r="G101" s="3" t="s">
        <v>47</v>
      </c>
      <c r="H101" s="3" t="s">
        <v>2</v>
      </c>
      <c r="I101" s="3">
        <v>50</v>
      </c>
      <c r="J101" s="3" t="s">
        <v>43</v>
      </c>
      <c r="K101" s="3" t="s">
        <v>44</v>
      </c>
      <c r="L101" s="3" t="s">
        <v>259</v>
      </c>
      <c r="M101" s="3" t="s">
        <v>276</v>
      </c>
      <c r="N101" s="3" t="s">
        <v>260</v>
      </c>
      <c r="O101" s="3" t="s">
        <v>261</v>
      </c>
      <c r="P101" s="3" t="s">
        <v>28</v>
      </c>
      <c r="Q101" s="3" t="s">
        <v>31</v>
      </c>
      <c r="R101" s="3" t="s">
        <v>33</v>
      </c>
      <c r="S101" s="3" t="s">
        <v>40</v>
      </c>
      <c r="T101" s="3" t="s">
        <v>42</v>
      </c>
      <c r="U101" s="3">
        <v>84.739571919059117</v>
      </c>
      <c r="V101" s="3" t="s">
        <v>163</v>
      </c>
      <c r="W101" s="5">
        <v>9666</v>
      </c>
    </row>
    <row r="102" spans="1:23" ht="15.75" x14ac:dyDescent="0.25">
      <c r="A102" s="3">
        <v>101</v>
      </c>
      <c r="B102" s="3"/>
      <c r="C102" s="3" t="s">
        <v>0</v>
      </c>
      <c r="D102" s="4">
        <v>41183</v>
      </c>
      <c r="E102" s="3">
        <v>155</v>
      </c>
      <c r="F102" s="3">
        <v>110</v>
      </c>
      <c r="G102" s="3" t="s">
        <v>47</v>
      </c>
      <c r="H102" s="3" t="s">
        <v>2</v>
      </c>
      <c r="I102" s="3">
        <v>2</v>
      </c>
      <c r="J102" s="3" t="s">
        <v>44</v>
      </c>
      <c r="K102" s="3" t="s">
        <v>43</v>
      </c>
      <c r="L102" s="3"/>
      <c r="M102" s="3"/>
      <c r="N102" s="4"/>
      <c r="O102" s="4"/>
      <c r="P102" s="3"/>
      <c r="Q102" s="3"/>
      <c r="R102" s="3"/>
      <c r="S102" s="3"/>
      <c r="T102" s="3"/>
      <c r="U102" s="3">
        <v>45.785639958376684</v>
      </c>
      <c r="V102" s="3" t="s">
        <v>163</v>
      </c>
      <c r="W102" s="5">
        <v>2998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C1:D8"/>
  <sheetViews>
    <sheetView workbookViewId="0">
      <selection activeCell="D11" sqref="D11"/>
    </sheetView>
  </sheetViews>
  <sheetFormatPr baseColWidth="10" defaultRowHeight="15" x14ac:dyDescent="0.25"/>
  <cols>
    <col min="3" max="3" width="25.85546875" customWidth="1"/>
  </cols>
  <sheetData>
    <row r="1" spans="3:4" x14ac:dyDescent="0.25">
      <c r="C1" t="s">
        <v>264</v>
      </c>
      <c r="D1" t="s">
        <v>263</v>
      </c>
    </row>
    <row r="2" spans="3:4" ht="15.75" x14ac:dyDescent="0.25">
      <c r="C2" s="6" t="s">
        <v>262</v>
      </c>
      <c r="D2">
        <v>8</v>
      </c>
    </row>
    <row r="3" spans="3:4" x14ac:dyDescent="0.25">
      <c r="C3" s="7" t="s">
        <v>265</v>
      </c>
      <c r="D3">
        <v>10</v>
      </c>
    </row>
    <row r="4" spans="3:4" ht="15.75" x14ac:dyDescent="0.25">
      <c r="C4" s="6" t="s">
        <v>161</v>
      </c>
      <c r="D4">
        <v>16</v>
      </c>
    </row>
    <row r="5" spans="3:4" ht="15.75" x14ac:dyDescent="0.25">
      <c r="C5" s="6" t="s">
        <v>163</v>
      </c>
      <c r="D5">
        <v>3</v>
      </c>
    </row>
    <row r="6" spans="3:4" ht="15.75" x14ac:dyDescent="0.25">
      <c r="C6" s="6" t="s">
        <v>162</v>
      </c>
      <c r="D6">
        <v>6</v>
      </c>
    </row>
    <row r="7" spans="3:4" ht="15.75" x14ac:dyDescent="0.25">
      <c r="C7" s="6" t="s">
        <v>266</v>
      </c>
      <c r="D7">
        <v>24</v>
      </c>
    </row>
    <row r="8" spans="3:4" ht="15.75" x14ac:dyDescent="0.25">
      <c r="C8" s="6" t="s">
        <v>267</v>
      </c>
      <c r="D8">
        <v>33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B2:F102"/>
  <sheetViews>
    <sheetView workbookViewId="0">
      <selection activeCell="D6" sqref="D6"/>
    </sheetView>
  </sheetViews>
  <sheetFormatPr baseColWidth="10" defaultRowHeight="15" x14ac:dyDescent="0.25"/>
  <cols>
    <col min="2" max="2" width="11.85546875" customWidth="1"/>
    <col min="6" max="6" width="15.42578125" style="10" customWidth="1"/>
  </cols>
  <sheetData>
    <row r="2" spans="2:6" ht="15.75" x14ac:dyDescent="0.25">
      <c r="B2" s="8"/>
      <c r="F2" s="13" t="s">
        <v>26</v>
      </c>
    </row>
    <row r="3" spans="2:6" ht="15.75" x14ac:dyDescent="0.25">
      <c r="B3" t="s">
        <v>279</v>
      </c>
      <c r="C3" t="s">
        <v>280</v>
      </c>
      <c r="F3" s="11" t="s">
        <v>44</v>
      </c>
    </row>
    <row r="4" spans="2:6" ht="15.75" x14ac:dyDescent="0.25">
      <c r="B4" t="s">
        <v>283</v>
      </c>
      <c r="C4">
        <v>30</v>
      </c>
      <c r="F4" s="12" t="s">
        <v>44</v>
      </c>
    </row>
    <row r="5" spans="2:6" ht="15.75" x14ac:dyDescent="0.25">
      <c r="B5" t="s">
        <v>281</v>
      </c>
      <c r="C5">
        <v>27</v>
      </c>
      <c r="F5" s="11" t="s">
        <v>44</v>
      </c>
    </row>
    <row r="6" spans="2:6" ht="15.75" x14ac:dyDescent="0.25">
      <c r="B6" t="s">
        <v>282</v>
      </c>
      <c r="C6">
        <v>43</v>
      </c>
      <c r="F6" s="12" t="s">
        <v>42</v>
      </c>
    </row>
    <row r="7" spans="2:6" ht="15.75" x14ac:dyDescent="0.25">
      <c r="B7" t="s">
        <v>284</v>
      </c>
      <c r="C7">
        <v>0</v>
      </c>
      <c r="F7" s="11" t="s">
        <v>45</v>
      </c>
    </row>
    <row r="8" spans="2:6" ht="15.75" x14ac:dyDescent="0.25">
      <c r="F8" s="12" t="s">
        <v>44</v>
      </c>
    </row>
    <row r="9" spans="2:6" ht="15.75" x14ac:dyDescent="0.25">
      <c r="F9" s="11" t="s">
        <v>45</v>
      </c>
    </row>
    <row r="10" spans="2:6" ht="15.75" x14ac:dyDescent="0.25">
      <c r="F10" s="12" t="s">
        <v>44</v>
      </c>
    </row>
    <row r="11" spans="2:6" ht="15.75" x14ac:dyDescent="0.25">
      <c r="F11" s="11" t="s">
        <v>45</v>
      </c>
    </row>
    <row r="12" spans="2:6" ht="15.75" x14ac:dyDescent="0.25">
      <c r="F12" s="12" t="s">
        <v>42</v>
      </c>
    </row>
    <row r="13" spans="2:6" ht="15.75" x14ac:dyDescent="0.25">
      <c r="F13" s="11" t="s">
        <v>45</v>
      </c>
    </row>
    <row r="14" spans="2:6" ht="15.75" x14ac:dyDescent="0.25">
      <c r="F14" s="12" t="s">
        <v>44</v>
      </c>
    </row>
    <row r="15" spans="2:6" ht="15.75" x14ac:dyDescent="0.25">
      <c r="F15" s="11" t="s">
        <v>44</v>
      </c>
    </row>
    <row r="16" spans="2:6" ht="15.75" x14ac:dyDescent="0.25">
      <c r="F16" s="12" t="s">
        <v>44</v>
      </c>
    </row>
    <row r="17" spans="6:6" ht="15.75" x14ac:dyDescent="0.25">
      <c r="F17" s="11" t="s">
        <v>44</v>
      </c>
    </row>
    <row r="18" spans="6:6" ht="15.75" x14ac:dyDescent="0.25">
      <c r="F18" s="12" t="s">
        <v>44</v>
      </c>
    </row>
    <row r="19" spans="6:6" ht="15.75" x14ac:dyDescent="0.25">
      <c r="F19" s="11" t="s">
        <v>44</v>
      </c>
    </row>
    <row r="20" spans="6:6" ht="15.75" x14ac:dyDescent="0.25">
      <c r="F20" s="12" t="s">
        <v>44</v>
      </c>
    </row>
    <row r="21" spans="6:6" ht="15.75" x14ac:dyDescent="0.25">
      <c r="F21" s="11" t="s">
        <v>45</v>
      </c>
    </row>
    <row r="22" spans="6:6" ht="15.75" x14ac:dyDescent="0.25">
      <c r="F22" s="12" t="s">
        <v>44</v>
      </c>
    </row>
    <row r="23" spans="6:6" ht="15.75" x14ac:dyDescent="0.25">
      <c r="F23" s="11" t="s">
        <v>45</v>
      </c>
    </row>
    <row r="24" spans="6:6" ht="15.75" x14ac:dyDescent="0.25">
      <c r="F24" s="12" t="s">
        <v>44</v>
      </c>
    </row>
    <row r="25" spans="6:6" ht="15.75" x14ac:dyDescent="0.25">
      <c r="F25" s="11" t="s">
        <v>42</v>
      </c>
    </row>
    <row r="26" spans="6:6" ht="15.75" x14ac:dyDescent="0.25">
      <c r="F26" s="12" t="s">
        <v>42</v>
      </c>
    </row>
    <row r="27" spans="6:6" ht="15.75" x14ac:dyDescent="0.25">
      <c r="F27" s="11" t="s">
        <v>42</v>
      </c>
    </row>
    <row r="28" spans="6:6" ht="15.75" x14ac:dyDescent="0.25">
      <c r="F28" s="12" t="s">
        <v>42</v>
      </c>
    </row>
    <row r="29" spans="6:6" ht="15.75" x14ac:dyDescent="0.25">
      <c r="F29" s="11" t="s">
        <v>45</v>
      </c>
    </row>
    <row r="30" spans="6:6" ht="15.75" x14ac:dyDescent="0.25">
      <c r="F30" s="12" t="s">
        <v>45</v>
      </c>
    </row>
    <row r="31" spans="6:6" ht="15.75" x14ac:dyDescent="0.25">
      <c r="F31" s="11" t="s">
        <v>44</v>
      </c>
    </row>
    <row r="32" spans="6:6" ht="15.75" x14ac:dyDescent="0.25">
      <c r="F32" s="12" t="s">
        <v>42</v>
      </c>
    </row>
    <row r="33" spans="6:6" ht="15.75" x14ac:dyDescent="0.25">
      <c r="F33" s="11" t="s">
        <v>42</v>
      </c>
    </row>
    <row r="34" spans="6:6" ht="15.75" x14ac:dyDescent="0.25">
      <c r="F34" s="12" t="s">
        <v>42</v>
      </c>
    </row>
    <row r="35" spans="6:6" ht="15.75" x14ac:dyDescent="0.25">
      <c r="F35" s="11" t="s">
        <v>45</v>
      </c>
    </row>
    <row r="36" spans="6:6" ht="15.75" x14ac:dyDescent="0.25">
      <c r="F36" s="12" t="s">
        <v>45</v>
      </c>
    </row>
    <row r="37" spans="6:6" ht="15.75" x14ac:dyDescent="0.25">
      <c r="F37" s="11" t="s">
        <v>44</v>
      </c>
    </row>
    <row r="38" spans="6:6" ht="15.75" x14ac:dyDescent="0.25">
      <c r="F38" s="12" t="s">
        <v>44</v>
      </c>
    </row>
    <row r="39" spans="6:6" ht="15.75" x14ac:dyDescent="0.25">
      <c r="F39" s="11" t="s">
        <v>44</v>
      </c>
    </row>
    <row r="40" spans="6:6" ht="15.75" x14ac:dyDescent="0.25">
      <c r="F40" s="12" t="s">
        <v>44</v>
      </c>
    </row>
    <row r="41" spans="6:6" ht="15.75" x14ac:dyDescent="0.25">
      <c r="F41" s="11" t="s">
        <v>45</v>
      </c>
    </row>
    <row r="42" spans="6:6" ht="15.75" x14ac:dyDescent="0.25">
      <c r="F42" s="12" t="s">
        <v>44</v>
      </c>
    </row>
    <row r="43" spans="6:6" ht="15.75" x14ac:dyDescent="0.25">
      <c r="F43" s="11" t="s">
        <v>42</v>
      </c>
    </row>
    <row r="44" spans="6:6" ht="15.75" x14ac:dyDescent="0.25">
      <c r="F44" s="12" t="s">
        <v>45</v>
      </c>
    </row>
    <row r="45" spans="6:6" ht="15.75" x14ac:dyDescent="0.25">
      <c r="F45" s="11" t="s">
        <v>44</v>
      </c>
    </row>
    <row r="46" spans="6:6" ht="15.75" x14ac:dyDescent="0.25">
      <c r="F46" s="12" t="s">
        <v>44</v>
      </c>
    </row>
    <row r="47" spans="6:6" ht="15.75" x14ac:dyDescent="0.25">
      <c r="F47" s="11" t="s">
        <v>44</v>
      </c>
    </row>
    <row r="48" spans="6:6" ht="15.75" x14ac:dyDescent="0.25">
      <c r="F48" s="12" t="s">
        <v>44</v>
      </c>
    </row>
    <row r="49" spans="6:6" ht="15.75" x14ac:dyDescent="0.25">
      <c r="F49" s="11" t="s">
        <v>45</v>
      </c>
    </row>
    <row r="50" spans="6:6" ht="15.75" x14ac:dyDescent="0.25">
      <c r="F50" s="12" t="s">
        <v>45</v>
      </c>
    </row>
    <row r="51" spans="6:6" ht="15.75" x14ac:dyDescent="0.25">
      <c r="F51" s="11" t="s">
        <v>42</v>
      </c>
    </row>
    <row r="52" spans="6:6" ht="15.75" x14ac:dyDescent="0.25">
      <c r="F52" s="12" t="s">
        <v>45</v>
      </c>
    </row>
    <row r="53" spans="6:6" ht="15.75" x14ac:dyDescent="0.25">
      <c r="F53" s="11" t="s">
        <v>44</v>
      </c>
    </row>
    <row r="54" spans="6:6" ht="15.75" x14ac:dyDescent="0.25">
      <c r="F54" s="12" t="s">
        <v>44</v>
      </c>
    </row>
    <row r="55" spans="6:6" ht="15.75" x14ac:dyDescent="0.25">
      <c r="F55" s="11" t="s">
        <v>44</v>
      </c>
    </row>
    <row r="56" spans="6:6" ht="15.75" x14ac:dyDescent="0.25">
      <c r="F56" s="12" t="s">
        <v>44</v>
      </c>
    </row>
    <row r="57" spans="6:6" ht="15.75" x14ac:dyDescent="0.25">
      <c r="F57" s="11" t="s">
        <v>44</v>
      </c>
    </row>
    <row r="58" spans="6:6" ht="15.75" x14ac:dyDescent="0.25">
      <c r="F58" s="12" t="s">
        <v>45</v>
      </c>
    </row>
    <row r="59" spans="6:6" ht="15.75" x14ac:dyDescent="0.25">
      <c r="F59" s="11" t="s">
        <v>44</v>
      </c>
    </row>
    <row r="60" spans="6:6" ht="15.75" x14ac:dyDescent="0.25">
      <c r="F60" s="12" t="s">
        <v>44</v>
      </c>
    </row>
    <row r="61" spans="6:6" ht="15.75" x14ac:dyDescent="0.25">
      <c r="F61" s="11" t="s">
        <v>44</v>
      </c>
    </row>
    <row r="62" spans="6:6" ht="15.75" x14ac:dyDescent="0.25">
      <c r="F62" s="12" t="s">
        <v>44</v>
      </c>
    </row>
    <row r="63" spans="6:6" ht="15.75" x14ac:dyDescent="0.25">
      <c r="F63" s="11" t="s">
        <v>44</v>
      </c>
    </row>
    <row r="64" spans="6:6" ht="15.75" x14ac:dyDescent="0.25">
      <c r="F64" s="12" t="s">
        <v>44</v>
      </c>
    </row>
    <row r="65" spans="6:6" ht="15.75" x14ac:dyDescent="0.25">
      <c r="F65" s="11" t="s">
        <v>45</v>
      </c>
    </row>
    <row r="66" spans="6:6" ht="15.75" x14ac:dyDescent="0.25">
      <c r="F66" s="12" t="s">
        <v>45</v>
      </c>
    </row>
    <row r="67" spans="6:6" ht="15.75" x14ac:dyDescent="0.25">
      <c r="F67" s="11" t="s">
        <v>42</v>
      </c>
    </row>
    <row r="68" spans="6:6" ht="15.75" x14ac:dyDescent="0.25">
      <c r="F68" s="12" t="s">
        <v>42</v>
      </c>
    </row>
    <row r="69" spans="6:6" ht="15.75" x14ac:dyDescent="0.25">
      <c r="F69" s="11" t="s">
        <v>42</v>
      </c>
    </row>
    <row r="70" spans="6:6" ht="15.75" x14ac:dyDescent="0.25">
      <c r="F70" s="12" t="s">
        <v>42</v>
      </c>
    </row>
    <row r="71" spans="6:6" ht="15.75" x14ac:dyDescent="0.25">
      <c r="F71" s="11" t="s">
        <v>42</v>
      </c>
    </row>
    <row r="72" spans="6:6" ht="15.75" x14ac:dyDescent="0.25">
      <c r="F72" s="12" t="s">
        <v>42</v>
      </c>
    </row>
    <row r="73" spans="6:6" ht="15.75" x14ac:dyDescent="0.25">
      <c r="F73" s="11" t="s">
        <v>42</v>
      </c>
    </row>
    <row r="74" spans="6:6" ht="15.75" x14ac:dyDescent="0.25">
      <c r="F74" s="12" t="s">
        <v>45</v>
      </c>
    </row>
    <row r="75" spans="6:6" ht="15.75" x14ac:dyDescent="0.25">
      <c r="F75" s="11" t="s">
        <v>45</v>
      </c>
    </row>
    <row r="76" spans="6:6" ht="15.75" x14ac:dyDescent="0.25">
      <c r="F76" s="12" t="s">
        <v>45</v>
      </c>
    </row>
    <row r="77" spans="6:6" ht="15.75" x14ac:dyDescent="0.25">
      <c r="F77" s="11" t="s">
        <v>45</v>
      </c>
    </row>
    <row r="78" spans="6:6" ht="15.75" x14ac:dyDescent="0.25">
      <c r="F78" s="12" t="s">
        <v>42</v>
      </c>
    </row>
    <row r="79" spans="6:6" ht="15.75" x14ac:dyDescent="0.25">
      <c r="F79" s="11" t="s">
        <v>45</v>
      </c>
    </row>
    <row r="80" spans="6:6" ht="15.75" x14ac:dyDescent="0.25">
      <c r="F80" s="12" t="s">
        <v>44</v>
      </c>
    </row>
    <row r="81" spans="6:6" ht="15.75" x14ac:dyDescent="0.25">
      <c r="F81" s="11" t="s">
        <v>44</v>
      </c>
    </row>
    <row r="82" spans="6:6" ht="15.75" x14ac:dyDescent="0.25">
      <c r="F82" s="12" t="s">
        <v>42</v>
      </c>
    </row>
    <row r="83" spans="6:6" ht="15.75" x14ac:dyDescent="0.25">
      <c r="F83" s="11" t="s">
        <v>42</v>
      </c>
    </row>
    <row r="84" spans="6:6" ht="15.75" x14ac:dyDescent="0.25">
      <c r="F84" s="12" t="s">
        <v>42</v>
      </c>
    </row>
    <row r="85" spans="6:6" ht="15.75" x14ac:dyDescent="0.25">
      <c r="F85" s="11" t="s">
        <v>42</v>
      </c>
    </row>
    <row r="86" spans="6:6" ht="15.75" x14ac:dyDescent="0.25">
      <c r="F86" s="12" t="s">
        <v>45</v>
      </c>
    </row>
    <row r="87" spans="6:6" ht="15.75" x14ac:dyDescent="0.25">
      <c r="F87" s="11" t="s">
        <v>42</v>
      </c>
    </row>
    <row r="88" spans="6:6" ht="15.75" x14ac:dyDescent="0.25">
      <c r="F88" s="12" t="s">
        <v>42</v>
      </c>
    </row>
    <row r="89" spans="6:6" ht="15.75" x14ac:dyDescent="0.25">
      <c r="F89" s="11" t="s">
        <v>45</v>
      </c>
    </row>
    <row r="90" spans="6:6" ht="15.75" x14ac:dyDescent="0.25">
      <c r="F90" s="12" t="s">
        <v>45</v>
      </c>
    </row>
    <row r="91" spans="6:6" ht="15.75" x14ac:dyDescent="0.25">
      <c r="F91" s="11" t="s">
        <v>42</v>
      </c>
    </row>
    <row r="92" spans="6:6" ht="15.75" x14ac:dyDescent="0.25">
      <c r="F92" s="12" t="s">
        <v>44</v>
      </c>
    </row>
    <row r="93" spans="6:6" ht="15.75" x14ac:dyDescent="0.25">
      <c r="F93" s="11" t="s">
        <v>44</v>
      </c>
    </row>
    <row r="94" spans="6:6" ht="15.75" x14ac:dyDescent="0.25">
      <c r="F94" s="12" t="s">
        <v>45</v>
      </c>
    </row>
    <row r="95" spans="6:6" ht="15.75" x14ac:dyDescent="0.25">
      <c r="F95" s="11" t="s">
        <v>42</v>
      </c>
    </row>
    <row r="96" spans="6:6" ht="15.75" x14ac:dyDescent="0.25">
      <c r="F96" s="12" t="s">
        <v>42</v>
      </c>
    </row>
    <row r="97" spans="6:6" ht="15.75" x14ac:dyDescent="0.25">
      <c r="F97" s="11" t="s">
        <v>44</v>
      </c>
    </row>
    <row r="98" spans="6:6" ht="15.75" x14ac:dyDescent="0.25">
      <c r="F98" s="12" t="s">
        <v>44</v>
      </c>
    </row>
    <row r="99" spans="6:6" ht="15.75" x14ac:dyDescent="0.25">
      <c r="F99" s="11" t="s">
        <v>42</v>
      </c>
    </row>
    <row r="100" spans="6:6" ht="15.75" x14ac:dyDescent="0.25">
      <c r="F100" s="12" t="s">
        <v>44</v>
      </c>
    </row>
    <row r="101" spans="6:6" ht="15.75" x14ac:dyDescent="0.25">
      <c r="F101" s="11" t="s">
        <v>44</v>
      </c>
    </row>
    <row r="102" spans="6:6" ht="15.75" x14ac:dyDescent="0.25">
      <c r="F102" s="16" t="s">
        <v>42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K2:M102"/>
  <sheetViews>
    <sheetView workbookViewId="0">
      <selection activeCell="N14" sqref="N14"/>
    </sheetView>
  </sheetViews>
  <sheetFormatPr baseColWidth="10" defaultRowHeight="15" x14ac:dyDescent="0.25"/>
  <sheetData>
    <row r="2" spans="11:13" ht="15.75" x14ac:dyDescent="0.25">
      <c r="K2" s="13" t="s">
        <v>9</v>
      </c>
      <c r="L2" s="13" t="s">
        <v>11</v>
      </c>
      <c r="M2" s="14" t="s">
        <v>149</v>
      </c>
    </row>
    <row r="3" spans="11:13" ht="15.75" x14ac:dyDescent="0.25">
      <c r="K3" s="15">
        <v>165</v>
      </c>
      <c r="L3" s="15">
        <v>55</v>
      </c>
      <c r="M3" s="14">
        <f>(L3/(K3*0.01)^2)</f>
        <v>20.202020202020197</v>
      </c>
    </row>
    <row r="4" spans="11:13" ht="15.75" x14ac:dyDescent="0.25">
      <c r="K4" s="16">
        <v>180</v>
      </c>
      <c r="L4" s="16">
        <v>70</v>
      </c>
      <c r="M4" s="14">
        <f t="shared" ref="M4:M67" si="0">(L4/(K4*0.01)^2)</f>
        <v>21.604938271604937</v>
      </c>
    </row>
    <row r="5" spans="11:13" ht="15.75" x14ac:dyDescent="0.25">
      <c r="K5" s="15">
        <v>169</v>
      </c>
      <c r="L5" s="15">
        <v>80</v>
      </c>
      <c r="M5" s="14">
        <f t="shared" si="0"/>
        <v>28.010223731662059</v>
      </c>
    </row>
    <row r="6" spans="11:13" ht="15.75" x14ac:dyDescent="0.25">
      <c r="K6" s="16">
        <v>187</v>
      </c>
      <c r="L6" s="16">
        <v>76</v>
      </c>
      <c r="M6" s="14">
        <f t="shared" si="0"/>
        <v>21.733535417083701</v>
      </c>
    </row>
    <row r="7" spans="11:13" ht="15.75" x14ac:dyDescent="0.25">
      <c r="K7" s="15">
        <v>182</v>
      </c>
      <c r="L7" s="15">
        <v>93</v>
      </c>
      <c r="M7" s="14">
        <f t="shared" si="0"/>
        <v>28.076319285110493</v>
      </c>
    </row>
    <row r="8" spans="11:13" ht="15.75" x14ac:dyDescent="0.25">
      <c r="K8" s="16">
        <v>171</v>
      </c>
      <c r="L8" s="16">
        <v>90</v>
      </c>
      <c r="M8" s="14">
        <f t="shared" si="0"/>
        <v>30.778701138811947</v>
      </c>
    </row>
    <row r="9" spans="11:13" ht="15.75" x14ac:dyDescent="0.25">
      <c r="K9" s="15">
        <v>175</v>
      </c>
      <c r="L9" s="15">
        <v>55</v>
      </c>
      <c r="M9" s="14">
        <f t="shared" si="0"/>
        <v>17.959183673469386</v>
      </c>
    </row>
    <row r="10" spans="11:13" ht="15.75" x14ac:dyDescent="0.25">
      <c r="K10" s="16">
        <v>181</v>
      </c>
      <c r="L10" s="16">
        <v>91</v>
      </c>
      <c r="M10" s="14">
        <f t="shared" si="0"/>
        <v>27.776929886145112</v>
      </c>
    </row>
    <row r="11" spans="11:13" ht="15.75" x14ac:dyDescent="0.25">
      <c r="K11" s="15">
        <v>169</v>
      </c>
      <c r="L11" s="15">
        <v>60</v>
      </c>
      <c r="M11" s="14">
        <f t="shared" si="0"/>
        <v>21.007667798746546</v>
      </c>
    </row>
    <row r="12" spans="11:13" ht="15.75" x14ac:dyDescent="0.25">
      <c r="K12" s="16">
        <v>190</v>
      </c>
      <c r="L12" s="16">
        <v>110</v>
      </c>
      <c r="M12" s="14">
        <f t="shared" si="0"/>
        <v>30.470914127423821</v>
      </c>
    </row>
    <row r="13" spans="11:13" ht="15.75" x14ac:dyDescent="0.25">
      <c r="K13" s="15">
        <v>170</v>
      </c>
      <c r="L13" s="15">
        <v>45</v>
      </c>
      <c r="M13" s="14">
        <f t="shared" si="0"/>
        <v>15.570934256055365</v>
      </c>
    </row>
    <row r="14" spans="11:13" ht="15.75" x14ac:dyDescent="0.25">
      <c r="K14" s="16">
        <v>170</v>
      </c>
      <c r="L14" s="16">
        <v>80</v>
      </c>
      <c r="M14" s="14">
        <f t="shared" si="0"/>
        <v>27.681660899653981</v>
      </c>
    </row>
    <row r="15" spans="11:13" ht="15.75" x14ac:dyDescent="0.25">
      <c r="K15" s="15">
        <v>159</v>
      </c>
      <c r="L15" s="15">
        <v>80</v>
      </c>
      <c r="M15" s="14">
        <f t="shared" si="0"/>
        <v>31.644317867172973</v>
      </c>
    </row>
    <row r="16" spans="11:13" ht="15.75" x14ac:dyDescent="0.25">
      <c r="K16" s="16">
        <v>182</v>
      </c>
      <c r="L16" s="16">
        <v>80</v>
      </c>
      <c r="M16" s="14">
        <f t="shared" si="0"/>
        <v>24.151672503320853</v>
      </c>
    </row>
    <row r="17" spans="11:13" ht="15.75" x14ac:dyDescent="0.25">
      <c r="K17" s="15">
        <v>172</v>
      </c>
      <c r="L17" s="15">
        <v>110</v>
      </c>
      <c r="M17" s="14">
        <f t="shared" si="0"/>
        <v>37.182260681449435</v>
      </c>
    </row>
    <row r="18" spans="11:13" ht="15.75" x14ac:dyDescent="0.25">
      <c r="K18" s="16">
        <v>172</v>
      </c>
      <c r="L18" s="16">
        <v>58</v>
      </c>
      <c r="M18" s="14">
        <f t="shared" si="0"/>
        <v>19.605191995673341</v>
      </c>
    </row>
    <row r="19" spans="11:13" ht="15.75" x14ac:dyDescent="0.25">
      <c r="K19" s="15">
        <v>172</v>
      </c>
      <c r="L19" s="15">
        <v>78</v>
      </c>
      <c r="M19" s="14">
        <f t="shared" si="0"/>
        <v>26.365603028664147</v>
      </c>
    </row>
    <row r="20" spans="11:13" ht="15.75" x14ac:dyDescent="0.25">
      <c r="K20" s="16">
        <v>155</v>
      </c>
      <c r="L20" s="16">
        <v>78</v>
      </c>
      <c r="M20" s="14">
        <f t="shared" si="0"/>
        <v>32.46618106139438</v>
      </c>
    </row>
    <row r="21" spans="11:13" ht="15.75" x14ac:dyDescent="0.25">
      <c r="K21" s="15">
        <v>162</v>
      </c>
      <c r="L21" s="15">
        <v>78</v>
      </c>
      <c r="M21" s="14">
        <f t="shared" si="0"/>
        <v>29.721079103795148</v>
      </c>
    </row>
    <row r="22" spans="11:13" ht="15.75" x14ac:dyDescent="0.25">
      <c r="K22" s="16">
        <v>130</v>
      </c>
      <c r="L22" s="16">
        <v>25</v>
      </c>
      <c r="M22" s="14">
        <f t="shared" si="0"/>
        <v>14.792899408284022</v>
      </c>
    </row>
    <row r="23" spans="11:13" ht="15.75" x14ac:dyDescent="0.25">
      <c r="K23" s="15">
        <v>170</v>
      </c>
      <c r="L23" s="15">
        <v>95</v>
      </c>
      <c r="M23" s="14">
        <f t="shared" si="0"/>
        <v>32.871972318339104</v>
      </c>
    </row>
    <row r="24" spans="11:13" ht="15.75" x14ac:dyDescent="0.25">
      <c r="K24" s="16">
        <v>170</v>
      </c>
      <c r="L24" s="16">
        <v>55</v>
      </c>
      <c r="M24" s="14">
        <f t="shared" si="0"/>
        <v>19.031141868512112</v>
      </c>
    </row>
    <row r="25" spans="11:13" ht="15.75" x14ac:dyDescent="0.25">
      <c r="K25" s="15">
        <v>167</v>
      </c>
      <c r="L25" s="15">
        <v>115</v>
      </c>
      <c r="M25" s="14">
        <f t="shared" si="0"/>
        <v>41.234895478504072</v>
      </c>
    </row>
    <row r="26" spans="11:13" ht="15.75" x14ac:dyDescent="0.25">
      <c r="K26" s="16">
        <v>186</v>
      </c>
      <c r="L26" s="16">
        <v>115</v>
      </c>
      <c r="M26" s="14">
        <f t="shared" si="0"/>
        <v>33.240837090993175</v>
      </c>
    </row>
    <row r="27" spans="11:13" ht="15.75" x14ac:dyDescent="0.25">
      <c r="K27" s="15">
        <v>186</v>
      </c>
      <c r="L27" s="15">
        <v>65</v>
      </c>
      <c r="M27" s="14">
        <f t="shared" si="0"/>
        <v>18.78829922534397</v>
      </c>
    </row>
    <row r="28" spans="11:13" ht="15.75" x14ac:dyDescent="0.25">
      <c r="K28" s="16">
        <v>186</v>
      </c>
      <c r="L28" s="16">
        <v>62</v>
      </c>
      <c r="M28" s="14">
        <f t="shared" si="0"/>
        <v>17.921146953405014</v>
      </c>
    </row>
    <row r="29" spans="11:13" ht="15.75" x14ac:dyDescent="0.25">
      <c r="K29" s="15">
        <v>166</v>
      </c>
      <c r="L29" s="15">
        <v>69</v>
      </c>
      <c r="M29" s="14">
        <f t="shared" si="0"/>
        <v>25.03991871098853</v>
      </c>
    </row>
    <row r="30" spans="11:13" ht="15.75" x14ac:dyDescent="0.25">
      <c r="K30" s="16">
        <v>166</v>
      </c>
      <c r="L30" s="16">
        <v>80</v>
      </c>
      <c r="M30" s="14">
        <f t="shared" si="0"/>
        <v>29.031789809841772</v>
      </c>
    </row>
    <row r="31" spans="11:13" ht="15.75" x14ac:dyDescent="0.25">
      <c r="K31" s="15">
        <v>155</v>
      </c>
      <c r="L31" s="15">
        <v>101</v>
      </c>
      <c r="M31" s="14">
        <f t="shared" si="0"/>
        <v>42.039542143600414</v>
      </c>
    </row>
    <row r="32" spans="11:13" ht="15.75" x14ac:dyDescent="0.25">
      <c r="K32" s="16">
        <v>170</v>
      </c>
      <c r="L32" s="16">
        <v>46</v>
      </c>
      <c r="M32" s="14">
        <f t="shared" si="0"/>
        <v>15.91695501730104</v>
      </c>
    </row>
    <row r="33" spans="11:13" ht="15.75" x14ac:dyDescent="0.25">
      <c r="K33" s="15">
        <v>170</v>
      </c>
      <c r="L33" s="15">
        <v>89</v>
      </c>
      <c r="M33" s="14">
        <f t="shared" si="0"/>
        <v>30.795847750865054</v>
      </c>
    </row>
    <row r="34" spans="11:13" ht="15.75" x14ac:dyDescent="0.25">
      <c r="K34" s="16">
        <v>178</v>
      </c>
      <c r="L34" s="16">
        <v>89</v>
      </c>
      <c r="M34" s="14">
        <f t="shared" si="0"/>
        <v>28.089887640449437</v>
      </c>
    </row>
    <row r="35" spans="11:13" ht="15.75" x14ac:dyDescent="0.25">
      <c r="K35" s="15">
        <v>178</v>
      </c>
      <c r="L35" s="15">
        <v>54</v>
      </c>
      <c r="M35" s="14">
        <f t="shared" si="0"/>
        <v>17.043302613306402</v>
      </c>
    </row>
    <row r="36" spans="11:13" ht="15.75" x14ac:dyDescent="0.25">
      <c r="K36" s="16">
        <v>178</v>
      </c>
      <c r="L36" s="16">
        <v>54</v>
      </c>
      <c r="M36" s="14">
        <f t="shared" si="0"/>
        <v>17.043302613306402</v>
      </c>
    </row>
    <row r="37" spans="11:13" ht="15.75" x14ac:dyDescent="0.25">
      <c r="K37" s="15">
        <v>180</v>
      </c>
      <c r="L37" s="15">
        <v>76</v>
      </c>
      <c r="M37" s="14">
        <f t="shared" si="0"/>
        <v>23.456790123456788</v>
      </c>
    </row>
    <row r="38" spans="11:13" ht="15.75" x14ac:dyDescent="0.25">
      <c r="K38" s="16">
        <v>180</v>
      </c>
      <c r="L38" s="16">
        <v>103</v>
      </c>
      <c r="M38" s="14">
        <f t="shared" si="0"/>
        <v>31.79012345679012</v>
      </c>
    </row>
    <row r="39" spans="11:13" ht="15.75" x14ac:dyDescent="0.25">
      <c r="K39" s="15">
        <v>159</v>
      </c>
      <c r="L39" s="15">
        <v>76</v>
      </c>
      <c r="M39" s="14">
        <f t="shared" si="0"/>
        <v>30.062101973814325</v>
      </c>
    </row>
    <row r="40" spans="11:13" ht="15.75" x14ac:dyDescent="0.25">
      <c r="K40" s="16">
        <v>178</v>
      </c>
      <c r="L40" s="16">
        <v>90</v>
      </c>
      <c r="M40" s="14">
        <f t="shared" si="0"/>
        <v>28.405504355510669</v>
      </c>
    </row>
    <row r="41" spans="11:13" ht="15.75" x14ac:dyDescent="0.25">
      <c r="K41" s="15">
        <v>178</v>
      </c>
      <c r="L41" s="15">
        <v>96</v>
      </c>
      <c r="M41" s="14">
        <f t="shared" si="0"/>
        <v>30.299204645878046</v>
      </c>
    </row>
    <row r="42" spans="11:13" ht="15.75" x14ac:dyDescent="0.25">
      <c r="K42" s="16">
        <v>178</v>
      </c>
      <c r="L42" s="16">
        <v>87</v>
      </c>
      <c r="M42" s="14">
        <f t="shared" si="0"/>
        <v>27.458654210326976</v>
      </c>
    </row>
    <row r="43" spans="11:13" ht="15.75" x14ac:dyDescent="0.25">
      <c r="K43" s="15">
        <v>178</v>
      </c>
      <c r="L43" s="15">
        <v>62</v>
      </c>
      <c r="M43" s="14">
        <f t="shared" si="0"/>
        <v>19.568236333796236</v>
      </c>
    </row>
    <row r="44" spans="11:13" ht="15.75" x14ac:dyDescent="0.25">
      <c r="K44" s="16">
        <v>179</v>
      </c>
      <c r="L44" s="16">
        <v>68</v>
      </c>
      <c r="M44" s="14">
        <f t="shared" si="0"/>
        <v>21.222808276895229</v>
      </c>
    </row>
    <row r="45" spans="11:13" ht="15.75" x14ac:dyDescent="0.25">
      <c r="K45" s="15">
        <v>196</v>
      </c>
      <c r="L45" s="15">
        <v>65</v>
      </c>
      <c r="M45" s="14">
        <f t="shared" si="0"/>
        <v>16.92003331945023</v>
      </c>
    </row>
    <row r="46" spans="11:13" ht="15.75" x14ac:dyDescent="0.25">
      <c r="K46" s="16">
        <v>161</v>
      </c>
      <c r="L46" s="16">
        <v>65</v>
      </c>
      <c r="M46" s="14">
        <f t="shared" si="0"/>
        <v>25.076193048107708</v>
      </c>
    </row>
    <row r="47" spans="11:13" ht="15.75" x14ac:dyDescent="0.25">
      <c r="K47" s="15">
        <v>161</v>
      </c>
      <c r="L47" s="15">
        <v>76</v>
      </c>
      <c r="M47" s="14">
        <f t="shared" si="0"/>
        <v>29.319856487018246</v>
      </c>
    </row>
    <row r="48" spans="11:13" ht="15.75" x14ac:dyDescent="0.25">
      <c r="K48" s="16">
        <v>171</v>
      </c>
      <c r="L48" s="16">
        <v>76</v>
      </c>
      <c r="M48" s="14">
        <f t="shared" si="0"/>
        <v>25.990903183885642</v>
      </c>
    </row>
    <row r="49" spans="11:13" ht="15.75" x14ac:dyDescent="0.25">
      <c r="K49" s="15">
        <v>171</v>
      </c>
      <c r="L49" s="15">
        <v>86</v>
      </c>
      <c r="M49" s="14">
        <f t="shared" si="0"/>
        <v>29.410758865975858</v>
      </c>
    </row>
    <row r="50" spans="11:13" ht="15.75" x14ac:dyDescent="0.25">
      <c r="K50" s="16">
        <v>191</v>
      </c>
      <c r="L50" s="16">
        <v>80</v>
      </c>
      <c r="M50" s="14">
        <f t="shared" si="0"/>
        <v>21.929223431375235</v>
      </c>
    </row>
    <row r="51" spans="11:13" ht="15.75" x14ac:dyDescent="0.25">
      <c r="K51" s="15">
        <v>191</v>
      </c>
      <c r="L51" s="15">
        <v>87</v>
      </c>
      <c r="M51" s="14">
        <f t="shared" si="0"/>
        <v>23.848030481620569</v>
      </c>
    </row>
    <row r="52" spans="11:13" ht="15.75" x14ac:dyDescent="0.25">
      <c r="K52" s="16">
        <v>167</v>
      </c>
      <c r="L52" s="16">
        <v>87</v>
      </c>
      <c r="M52" s="14">
        <f t="shared" si="0"/>
        <v>31.1950948402596</v>
      </c>
    </row>
    <row r="53" spans="11:13" ht="15.75" x14ac:dyDescent="0.25">
      <c r="K53" s="15">
        <v>120</v>
      </c>
      <c r="L53" s="15">
        <v>20</v>
      </c>
      <c r="M53" s="14">
        <f t="shared" si="0"/>
        <v>13.888888888888889</v>
      </c>
    </row>
    <row r="54" spans="11:13" ht="15.75" x14ac:dyDescent="0.25">
      <c r="K54" s="16">
        <v>145</v>
      </c>
      <c r="L54" s="16">
        <v>42</v>
      </c>
      <c r="M54" s="14">
        <f t="shared" si="0"/>
        <v>19.976218787158146</v>
      </c>
    </row>
    <row r="55" spans="11:13" ht="15.75" x14ac:dyDescent="0.25">
      <c r="K55" s="15">
        <v>145</v>
      </c>
      <c r="L55" s="15">
        <v>68</v>
      </c>
      <c r="M55" s="14">
        <f t="shared" si="0"/>
        <v>32.342449464922709</v>
      </c>
    </row>
    <row r="56" spans="11:13" ht="15.75" x14ac:dyDescent="0.25">
      <c r="K56" s="16">
        <v>172</v>
      </c>
      <c r="L56" s="16">
        <v>104</v>
      </c>
      <c r="M56" s="14">
        <f t="shared" si="0"/>
        <v>35.154137371552196</v>
      </c>
    </row>
    <row r="57" spans="11:13" ht="15.75" x14ac:dyDescent="0.25">
      <c r="K57" s="15">
        <v>192</v>
      </c>
      <c r="L57" s="15">
        <v>110</v>
      </c>
      <c r="M57" s="14">
        <f t="shared" si="0"/>
        <v>29.839409722222221</v>
      </c>
    </row>
    <row r="58" spans="11:13" ht="15.75" x14ac:dyDescent="0.25">
      <c r="K58" s="16">
        <v>192</v>
      </c>
      <c r="L58" s="16">
        <v>99</v>
      </c>
      <c r="M58" s="14">
        <f t="shared" si="0"/>
        <v>26.85546875</v>
      </c>
    </row>
    <row r="59" spans="11:13" ht="15.75" x14ac:dyDescent="0.25">
      <c r="K59" s="15">
        <v>162</v>
      </c>
      <c r="L59" s="15">
        <v>93</v>
      </c>
      <c r="M59" s="14">
        <f t="shared" si="0"/>
        <v>35.436671239140367</v>
      </c>
    </row>
    <row r="60" spans="11:13" ht="15.75" x14ac:dyDescent="0.25">
      <c r="K60" s="16">
        <v>162</v>
      </c>
      <c r="L60" s="16">
        <v>93</v>
      </c>
      <c r="M60" s="14">
        <f t="shared" si="0"/>
        <v>35.436671239140367</v>
      </c>
    </row>
    <row r="61" spans="11:13" ht="15.75" x14ac:dyDescent="0.25">
      <c r="K61" s="15">
        <v>162</v>
      </c>
      <c r="L61" s="15">
        <v>65</v>
      </c>
      <c r="M61" s="14">
        <f t="shared" si="0"/>
        <v>24.767565919829291</v>
      </c>
    </row>
    <row r="62" spans="11:13" ht="15.75" x14ac:dyDescent="0.25">
      <c r="K62" s="16">
        <v>162</v>
      </c>
      <c r="L62" s="16">
        <v>65</v>
      </c>
      <c r="M62" s="14">
        <f t="shared" si="0"/>
        <v>24.767565919829291</v>
      </c>
    </row>
    <row r="63" spans="11:13" ht="15.75" x14ac:dyDescent="0.25">
      <c r="K63" s="15">
        <v>187</v>
      </c>
      <c r="L63" s="15">
        <v>71</v>
      </c>
      <c r="M63" s="14">
        <f t="shared" si="0"/>
        <v>20.303697560696612</v>
      </c>
    </row>
    <row r="64" spans="11:13" ht="15.75" x14ac:dyDescent="0.25">
      <c r="K64" s="16">
        <v>187</v>
      </c>
      <c r="L64" s="16">
        <v>91</v>
      </c>
      <c r="M64" s="14">
        <f t="shared" si="0"/>
        <v>26.023048986244955</v>
      </c>
    </row>
    <row r="65" spans="11:13" ht="15.75" x14ac:dyDescent="0.25">
      <c r="K65" s="15">
        <v>187</v>
      </c>
      <c r="L65" s="15">
        <v>91</v>
      </c>
      <c r="M65" s="14">
        <f t="shared" si="0"/>
        <v>26.023048986244955</v>
      </c>
    </row>
    <row r="66" spans="11:13" ht="15.75" x14ac:dyDescent="0.25">
      <c r="K66" s="16">
        <v>187</v>
      </c>
      <c r="L66" s="16">
        <v>91</v>
      </c>
      <c r="M66" s="14">
        <f t="shared" si="0"/>
        <v>26.023048986244955</v>
      </c>
    </row>
    <row r="67" spans="11:13" ht="15.75" x14ac:dyDescent="0.25">
      <c r="K67" s="15">
        <v>187</v>
      </c>
      <c r="L67" s="15">
        <v>91</v>
      </c>
      <c r="M67" s="14">
        <f t="shared" si="0"/>
        <v>26.023048986244955</v>
      </c>
    </row>
    <row r="68" spans="11:13" ht="15.75" x14ac:dyDescent="0.25">
      <c r="K68" s="16">
        <v>187</v>
      </c>
      <c r="L68" s="16">
        <v>91</v>
      </c>
      <c r="M68" s="14">
        <f t="shared" ref="M68:M102" si="1">(L68/(K68*0.01)^2)</f>
        <v>26.023048986244955</v>
      </c>
    </row>
    <row r="69" spans="11:13" ht="15.75" x14ac:dyDescent="0.25">
      <c r="K69" s="15">
        <v>187</v>
      </c>
      <c r="L69" s="15">
        <v>91</v>
      </c>
      <c r="M69" s="14">
        <f t="shared" si="1"/>
        <v>26.023048986244955</v>
      </c>
    </row>
    <row r="70" spans="11:13" ht="15.75" x14ac:dyDescent="0.25">
      <c r="K70" s="16">
        <v>187</v>
      </c>
      <c r="L70" s="16">
        <v>91</v>
      </c>
      <c r="M70" s="14">
        <f t="shared" si="1"/>
        <v>26.023048986244955</v>
      </c>
    </row>
    <row r="71" spans="11:13" ht="15.75" x14ac:dyDescent="0.25">
      <c r="K71" s="15">
        <v>187</v>
      </c>
      <c r="L71" s="15">
        <v>91</v>
      </c>
      <c r="M71" s="14">
        <f t="shared" si="1"/>
        <v>26.023048986244955</v>
      </c>
    </row>
    <row r="72" spans="11:13" ht="15.75" x14ac:dyDescent="0.25">
      <c r="K72" s="16">
        <v>187</v>
      </c>
      <c r="L72" s="16">
        <v>61</v>
      </c>
      <c r="M72" s="14">
        <f t="shared" si="1"/>
        <v>17.444021847922443</v>
      </c>
    </row>
    <row r="73" spans="11:13" ht="15.75" x14ac:dyDescent="0.25">
      <c r="K73" s="15">
        <v>187</v>
      </c>
      <c r="L73" s="15">
        <v>61</v>
      </c>
      <c r="M73" s="14">
        <f t="shared" si="1"/>
        <v>17.444021847922443</v>
      </c>
    </row>
    <row r="74" spans="11:13" ht="15.75" x14ac:dyDescent="0.25">
      <c r="K74" s="16">
        <v>187</v>
      </c>
      <c r="L74" s="16">
        <v>61</v>
      </c>
      <c r="M74" s="14">
        <f t="shared" si="1"/>
        <v>17.444021847922443</v>
      </c>
    </row>
    <row r="75" spans="11:13" ht="15.75" x14ac:dyDescent="0.25">
      <c r="K75" s="15">
        <v>195</v>
      </c>
      <c r="L75" s="15">
        <v>61</v>
      </c>
      <c r="M75" s="14">
        <f t="shared" si="1"/>
        <v>16.042077580539122</v>
      </c>
    </row>
    <row r="76" spans="11:13" ht="15.75" x14ac:dyDescent="0.25">
      <c r="K76" s="16">
        <v>195</v>
      </c>
      <c r="L76" s="16">
        <v>87</v>
      </c>
      <c r="M76" s="14">
        <f t="shared" si="1"/>
        <v>22.87968441814596</v>
      </c>
    </row>
    <row r="77" spans="11:13" ht="15.75" x14ac:dyDescent="0.25">
      <c r="K77" s="15">
        <v>195</v>
      </c>
      <c r="L77" s="15">
        <v>87</v>
      </c>
      <c r="M77" s="14">
        <f t="shared" si="1"/>
        <v>22.87968441814596</v>
      </c>
    </row>
    <row r="78" spans="11:13" ht="15.75" x14ac:dyDescent="0.25">
      <c r="K78" s="16">
        <v>195</v>
      </c>
      <c r="L78" s="16">
        <v>87</v>
      </c>
      <c r="M78" s="14">
        <f t="shared" si="1"/>
        <v>22.87968441814596</v>
      </c>
    </row>
    <row r="79" spans="11:13" ht="15.75" x14ac:dyDescent="0.25">
      <c r="K79" s="15">
        <v>156</v>
      </c>
      <c r="L79" s="15">
        <v>87</v>
      </c>
      <c r="M79" s="14">
        <f t="shared" si="1"/>
        <v>35.749506903353051</v>
      </c>
    </row>
    <row r="80" spans="11:13" ht="15.75" x14ac:dyDescent="0.25">
      <c r="K80" s="16">
        <v>156</v>
      </c>
      <c r="L80" s="16">
        <v>80</v>
      </c>
      <c r="M80" s="14">
        <f t="shared" si="1"/>
        <v>32.873109796186718</v>
      </c>
    </row>
    <row r="81" spans="11:13" ht="15.75" x14ac:dyDescent="0.25">
      <c r="K81" s="15">
        <v>156</v>
      </c>
      <c r="L81" s="15">
        <v>80</v>
      </c>
      <c r="M81" s="14">
        <f t="shared" si="1"/>
        <v>32.873109796186718</v>
      </c>
    </row>
    <row r="82" spans="11:13" ht="15.75" x14ac:dyDescent="0.25">
      <c r="K82" s="16">
        <v>156</v>
      </c>
      <c r="L82" s="16">
        <v>80</v>
      </c>
      <c r="M82" s="14">
        <f t="shared" si="1"/>
        <v>32.873109796186718</v>
      </c>
    </row>
    <row r="83" spans="11:13" ht="15.75" x14ac:dyDescent="0.25">
      <c r="K83" s="15">
        <v>156</v>
      </c>
      <c r="L83" s="15">
        <v>56</v>
      </c>
      <c r="M83" s="14">
        <f t="shared" si="1"/>
        <v>23.011176857330703</v>
      </c>
    </row>
    <row r="84" spans="11:13" ht="15.75" x14ac:dyDescent="0.25">
      <c r="K84" s="16">
        <v>176</v>
      </c>
      <c r="L84" s="16">
        <v>40</v>
      </c>
      <c r="M84" s="14">
        <f t="shared" si="1"/>
        <v>12.913223140495868</v>
      </c>
    </row>
    <row r="85" spans="11:13" ht="15.75" x14ac:dyDescent="0.25">
      <c r="K85" s="15">
        <v>195</v>
      </c>
      <c r="L85" s="15">
        <v>51</v>
      </c>
      <c r="M85" s="14">
        <f t="shared" si="1"/>
        <v>13.412228796844182</v>
      </c>
    </row>
    <row r="86" spans="11:13" ht="15.75" x14ac:dyDescent="0.25">
      <c r="K86" s="16">
        <v>195</v>
      </c>
      <c r="L86" s="16">
        <v>51</v>
      </c>
      <c r="M86" s="14">
        <f t="shared" si="1"/>
        <v>13.412228796844182</v>
      </c>
    </row>
    <row r="87" spans="11:13" ht="15.75" x14ac:dyDescent="0.25">
      <c r="K87" s="15">
        <v>185</v>
      </c>
      <c r="L87" s="15">
        <v>71</v>
      </c>
      <c r="M87" s="14">
        <f t="shared" si="1"/>
        <v>20.74506939371804</v>
      </c>
    </row>
    <row r="88" spans="11:13" ht="15.75" x14ac:dyDescent="0.25">
      <c r="K88" s="16">
        <v>155</v>
      </c>
      <c r="L88" s="16">
        <v>71</v>
      </c>
      <c r="M88" s="14">
        <f t="shared" si="1"/>
        <v>29.552549427679498</v>
      </c>
    </row>
    <row r="89" spans="11:13" ht="15.75" x14ac:dyDescent="0.25">
      <c r="K89" s="15">
        <v>155</v>
      </c>
      <c r="L89" s="15">
        <v>71</v>
      </c>
      <c r="M89" s="14">
        <f t="shared" si="1"/>
        <v>29.552549427679498</v>
      </c>
    </row>
    <row r="90" spans="11:13" ht="15.75" x14ac:dyDescent="0.25">
      <c r="K90" s="16">
        <v>165</v>
      </c>
      <c r="L90" s="16">
        <v>71</v>
      </c>
      <c r="M90" s="14">
        <f t="shared" si="1"/>
        <v>26.078971533516981</v>
      </c>
    </row>
    <row r="91" spans="11:13" ht="15.75" x14ac:dyDescent="0.25">
      <c r="K91" s="15">
        <v>165</v>
      </c>
      <c r="L91" s="15">
        <v>81</v>
      </c>
      <c r="M91" s="14">
        <f t="shared" si="1"/>
        <v>29.752066115702473</v>
      </c>
    </row>
    <row r="92" spans="11:13" ht="15.75" x14ac:dyDescent="0.25">
      <c r="K92" s="16">
        <v>175</v>
      </c>
      <c r="L92" s="16">
        <v>91</v>
      </c>
      <c r="M92" s="14">
        <f t="shared" si="1"/>
        <v>29.714285714285715</v>
      </c>
    </row>
    <row r="93" spans="11:13" ht="15.75" x14ac:dyDescent="0.25">
      <c r="K93" s="15">
        <v>160</v>
      </c>
      <c r="L93" s="15">
        <v>91</v>
      </c>
      <c r="M93" s="14">
        <f t="shared" si="1"/>
        <v>35.546874999999993</v>
      </c>
    </row>
    <row r="94" spans="11:13" ht="15.75" x14ac:dyDescent="0.25">
      <c r="K94" s="16">
        <v>173</v>
      </c>
      <c r="L94" s="16">
        <v>72</v>
      </c>
      <c r="M94" s="14">
        <f t="shared" si="1"/>
        <v>24.056934745564501</v>
      </c>
    </row>
    <row r="95" spans="11:13" ht="15.75" x14ac:dyDescent="0.25">
      <c r="K95" s="15">
        <v>187</v>
      </c>
      <c r="L95" s="15">
        <v>59</v>
      </c>
      <c r="M95" s="14">
        <f t="shared" si="1"/>
        <v>16.872086705367607</v>
      </c>
    </row>
    <row r="96" spans="11:13" ht="15.75" x14ac:dyDescent="0.25">
      <c r="K96" s="16">
        <v>180</v>
      </c>
      <c r="L96" s="16">
        <v>91</v>
      </c>
      <c r="M96" s="14">
        <f t="shared" si="1"/>
        <v>28.086419753086417</v>
      </c>
    </row>
    <row r="97" spans="11:13" ht="15.75" x14ac:dyDescent="0.25">
      <c r="K97" s="15">
        <v>180</v>
      </c>
      <c r="L97" s="15">
        <v>54</v>
      </c>
      <c r="M97" s="14">
        <f t="shared" si="1"/>
        <v>16.666666666666664</v>
      </c>
    </row>
    <row r="98" spans="11:13" ht="15.75" x14ac:dyDescent="0.25">
      <c r="K98" s="16">
        <v>180</v>
      </c>
      <c r="L98" s="16">
        <v>84</v>
      </c>
      <c r="M98" s="14">
        <f t="shared" si="1"/>
        <v>25.925925925925924</v>
      </c>
    </row>
    <row r="99" spans="11:13" ht="15.75" x14ac:dyDescent="0.25">
      <c r="K99" s="15">
        <v>180</v>
      </c>
      <c r="L99" s="15">
        <v>84</v>
      </c>
      <c r="M99" s="14">
        <f t="shared" si="1"/>
        <v>25.925925925925924</v>
      </c>
    </row>
    <row r="100" spans="11:13" ht="15.75" x14ac:dyDescent="0.25">
      <c r="K100" s="16">
        <v>165</v>
      </c>
      <c r="L100" s="16">
        <v>86</v>
      </c>
      <c r="M100" s="14">
        <f t="shared" si="1"/>
        <v>31.588613406795218</v>
      </c>
    </row>
    <row r="101" spans="11:13" ht="15.75" x14ac:dyDescent="0.25">
      <c r="K101" s="15">
        <v>165</v>
      </c>
      <c r="L101" s="15">
        <v>61</v>
      </c>
      <c r="M101" s="14">
        <f t="shared" si="1"/>
        <v>22.405876951331493</v>
      </c>
    </row>
    <row r="102" spans="11:13" ht="15.75" x14ac:dyDescent="0.25">
      <c r="K102" s="16">
        <v>117</v>
      </c>
      <c r="L102" s="16">
        <v>116</v>
      </c>
      <c r="M102" s="14">
        <f t="shared" si="1"/>
        <v>84.739571919059117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2"/>
  <sheetViews>
    <sheetView workbookViewId="0">
      <selection activeCell="A4" sqref="A4"/>
    </sheetView>
  </sheetViews>
  <sheetFormatPr baseColWidth="10"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3"/>
  <sheetViews>
    <sheetView workbookViewId="0">
      <selection activeCell="A5" sqref="A5"/>
    </sheetView>
  </sheetViews>
  <sheetFormatPr baseColWidth="10" defaultRowHeight="15" x14ac:dyDescent="0.25"/>
  <sheetData>
    <row r="1" spans="1:1" x14ac:dyDescent="0.25">
      <c r="A1" t="s">
        <v>2</v>
      </c>
    </row>
    <row r="2" spans="1:1" x14ac:dyDescent="0.25">
      <c r="A2" t="s">
        <v>3</v>
      </c>
    </row>
    <row r="3" spans="1:1" x14ac:dyDescent="0.25">
      <c r="A3" t="s">
        <v>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A2"/>
  <sheetViews>
    <sheetView workbookViewId="0">
      <selection activeCell="C4" sqref="C4"/>
    </sheetView>
  </sheetViews>
  <sheetFormatPr baseColWidth="10" defaultRowHeight="15" x14ac:dyDescent="0.25"/>
  <sheetData>
    <row r="1" spans="1:1" x14ac:dyDescent="0.25">
      <c r="A1" t="s">
        <v>16</v>
      </c>
    </row>
    <row r="2" spans="1:1" x14ac:dyDescent="0.25">
      <c r="A2" t="s">
        <v>17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A3"/>
  <sheetViews>
    <sheetView workbookViewId="0">
      <selection activeCell="A4" sqref="A4"/>
    </sheetView>
  </sheetViews>
  <sheetFormatPr baseColWidth="10" defaultRowHeight="15" x14ac:dyDescent="0.25"/>
  <sheetData>
    <row r="1" spans="1:1" x14ac:dyDescent="0.25">
      <c r="A1" t="s">
        <v>27</v>
      </c>
    </row>
    <row r="2" spans="1:1" x14ac:dyDescent="0.25">
      <c r="A2" t="s">
        <v>28</v>
      </c>
    </row>
    <row r="3" spans="1:1" x14ac:dyDescent="0.25">
      <c r="A3" t="s">
        <v>29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A2"/>
  <sheetViews>
    <sheetView workbookViewId="0">
      <selection activeCell="B4" sqref="B4"/>
    </sheetView>
  </sheetViews>
  <sheetFormatPr baseColWidth="10" defaultRowHeight="15" x14ac:dyDescent="0.25"/>
  <sheetData>
    <row r="1" spans="1:1" x14ac:dyDescent="0.25">
      <c r="A1" t="s">
        <v>30</v>
      </c>
    </row>
    <row r="2" spans="1:1" x14ac:dyDescent="0.25">
      <c r="A2" t="s">
        <v>31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A4"/>
  <sheetViews>
    <sheetView workbookViewId="0">
      <selection activeCell="B4" sqref="B4"/>
    </sheetView>
  </sheetViews>
  <sheetFormatPr baseColWidth="10" defaultRowHeight="15" x14ac:dyDescent="0.25"/>
  <sheetData>
    <row r="1" spans="1:1" x14ac:dyDescent="0.25">
      <c r="A1" t="s">
        <v>35</v>
      </c>
    </row>
    <row r="2" spans="1:1" x14ac:dyDescent="0.25">
      <c r="A2" t="s">
        <v>32</v>
      </c>
    </row>
    <row r="3" spans="1:1" x14ac:dyDescent="0.25">
      <c r="A3" t="s">
        <v>34</v>
      </c>
    </row>
    <row r="4" spans="1:1" x14ac:dyDescent="0.25">
      <c r="A4" t="s">
        <v>33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A6"/>
  <sheetViews>
    <sheetView workbookViewId="0">
      <selection activeCell="C7" sqref="C7"/>
    </sheetView>
  </sheetViews>
  <sheetFormatPr baseColWidth="10" defaultRowHeight="15" x14ac:dyDescent="0.25"/>
  <sheetData>
    <row r="1" spans="1:1" x14ac:dyDescent="0.25">
      <c r="A1" t="s">
        <v>36</v>
      </c>
    </row>
    <row r="2" spans="1:1" x14ac:dyDescent="0.25">
      <c r="A2" t="s">
        <v>37</v>
      </c>
    </row>
    <row r="3" spans="1:1" x14ac:dyDescent="0.25">
      <c r="A3" t="s">
        <v>38</v>
      </c>
    </row>
    <row r="4" spans="1:1" x14ac:dyDescent="0.25">
      <c r="A4" t="s">
        <v>39</v>
      </c>
    </row>
    <row r="5" spans="1:1" x14ac:dyDescent="0.25">
      <c r="A5" t="s">
        <v>40</v>
      </c>
    </row>
    <row r="6" spans="1:1" x14ac:dyDescent="0.25">
      <c r="A6" t="s">
        <v>41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A4"/>
  <sheetViews>
    <sheetView workbookViewId="0">
      <selection activeCell="B5" sqref="B5"/>
    </sheetView>
  </sheetViews>
  <sheetFormatPr baseColWidth="10" defaultRowHeight="15" x14ac:dyDescent="0.25"/>
  <sheetData>
    <row r="1" spans="1:1" x14ac:dyDescent="0.25">
      <c r="A1" t="s">
        <v>44</v>
      </c>
    </row>
    <row r="2" spans="1:1" x14ac:dyDescent="0.25">
      <c r="A2" t="s">
        <v>45</v>
      </c>
    </row>
    <row r="3" spans="1:1" x14ac:dyDescent="0.25">
      <c r="A3" t="s">
        <v>43</v>
      </c>
    </row>
    <row r="4" spans="1:1" x14ac:dyDescent="0.25">
      <c r="A4" t="s">
        <v>42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A2"/>
  <sheetViews>
    <sheetView workbookViewId="0">
      <selection activeCell="H13" sqref="H13"/>
    </sheetView>
  </sheetViews>
  <sheetFormatPr baseColWidth="10" defaultRowHeight="15" x14ac:dyDescent="0.25"/>
  <sheetData>
    <row r="1" spans="1:1" x14ac:dyDescent="0.25">
      <c r="A1" t="s">
        <v>44</v>
      </c>
    </row>
    <row r="2" spans="1:1" x14ac:dyDescent="0.25">
      <c r="A2" t="s">
        <v>43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/>
  <dimension ref="A1:A2"/>
  <sheetViews>
    <sheetView workbookViewId="0">
      <selection activeCell="D9" sqref="D9"/>
    </sheetView>
  </sheetViews>
  <sheetFormatPr baseColWidth="10" defaultRowHeight="15" x14ac:dyDescent="0.25"/>
  <sheetData>
    <row r="1" spans="1:1" x14ac:dyDescent="0.25">
      <c r="A1" t="s">
        <v>44</v>
      </c>
    </row>
    <row r="2" spans="1:1" x14ac:dyDescent="0.25">
      <c r="A2" t="s">
        <v>43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A2"/>
  <sheetViews>
    <sheetView workbookViewId="0">
      <selection activeCell="J20" sqref="J20"/>
    </sheetView>
  </sheetViews>
  <sheetFormatPr baseColWidth="10" defaultRowHeight="15" x14ac:dyDescent="0.25"/>
  <sheetData>
    <row r="1" spans="1:1" x14ac:dyDescent="0.25">
      <c r="A1" t="s">
        <v>2</v>
      </c>
    </row>
    <row r="2" spans="1:1" x14ac:dyDescent="0.25">
      <c r="A2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16</vt:i4>
      </vt:variant>
    </vt:vector>
  </HeadingPairs>
  <TitlesOfParts>
    <vt:vector size="16" baseType="lpstr">
      <vt:lpstr>Menu</vt:lpstr>
      <vt:lpstr>patient</vt:lpstr>
      <vt:lpstr>diagramme_secteurs</vt:lpstr>
      <vt:lpstr>diagramme_baton</vt:lpstr>
      <vt:lpstr>Graphique_nuagePoint</vt:lpstr>
      <vt:lpstr>sexe</vt:lpstr>
      <vt:lpstr>ResTG</vt:lpstr>
      <vt:lpstr>BrasTrait</vt:lpstr>
      <vt:lpstr>Intensité</vt:lpstr>
      <vt:lpstr>Gravité</vt:lpstr>
      <vt:lpstr>ActPriseEI</vt:lpstr>
      <vt:lpstr>DevSuiteEI</vt:lpstr>
      <vt:lpstr>RelAvecTrait</vt:lpstr>
      <vt:lpstr>Spot_Sang</vt:lpstr>
      <vt:lpstr>EIndes</vt:lpstr>
      <vt:lpstr>GEpaisse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johana faye</dc:creator>
  <cp:lastModifiedBy>johana faye</cp:lastModifiedBy>
  <dcterms:created xsi:type="dcterms:W3CDTF">2020-03-20T11:00:46Z</dcterms:created>
  <dcterms:modified xsi:type="dcterms:W3CDTF">2020-03-26T19:50:50Z</dcterms:modified>
</cp:coreProperties>
</file>